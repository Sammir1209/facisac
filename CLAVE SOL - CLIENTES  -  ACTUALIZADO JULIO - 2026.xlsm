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lo\Downloads\"/>
    </mc:Choice>
  </mc:AlternateContent>
  <xr:revisionPtr revIDLastSave="0" documentId="13_ncr:1_{B9995D23-D257-4526-9B16-2756C0112B4E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CLIENTES" sheetId="1" r:id="rId1"/>
    <sheet name="Hoja3" sheetId="5" r:id="rId2"/>
    <sheet name="Hoja2" sheetId="4" r:id="rId3"/>
    <sheet name="Hoja1" sheetId="3" r:id="rId4"/>
    <sheet name="CRONOGRAMAS 2026" sheetId="2" r:id="rId5"/>
  </sheets>
  <definedNames>
    <definedName name="_xlnm._FilterDatabase" localSheetId="4" hidden="1">'CRONOGRAMAS 2026'!$A$2:$I$134</definedName>
    <definedName name="_xleta.IFERROR" hidden="1" xlm="1">#NAME?</definedName>
    <definedName name="Añitos">#REF!</definedName>
    <definedName name="AÑOS">#REF!</definedName>
    <definedName name="Bien">#REF!</definedName>
    <definedName name="BIENALQUILAD0">#REF!</definedName>
    <definedName name="LISTA_DE_RUCS">OFFSET(#REF!,0,0,COUNTA(#REF!)-1,1)</definedName>
    <definedName name="MESES">#REF!</definedName>
    <definedName name="mesesitos">#REF!</definedName>
    <definedName name="PRODUCTOS">#REF!</definedName>
    <definedName name="ubigeo">#REF!</definedName>
    <definedName name="ubigeos">#REF!</definedName>
    <definedName name="via">#REF!</definedName>
    <definedName name="vias">#REF!</definedName>
    <definedName name="viass">#REF!</definedName>
    <definedName name="ZONA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2" i="1" l="1"/>
  <c r="A41" i="1"/>
  <c r="A42" i="1"/>
  <c r="A43" i="1"/>
  <c r="A44" i="1"/>
  <c r="K24" i="1"/>
  <c r="M24" i="1"/>
  <c r="L24" i="1"/>
  <c r="K25" i="1"/>
  <c r="M25" i="1"/>
  <c r="L25" i="1"/>
  <c r="M35" i="1"/>
  <c r="L35" i="1"/>
  <c r="A10" i="1"/>
  <c r="A11" i="1" s="1"/>
  <c r="A12" i="1" s="1"/>
  <c r="A13" i="1" s="1"/>
  <c r="A14" i="1" s="1"/>
  <c r="A15" i="1" s="1"/>
  <c r="A16" i="1" s="1"/>
  <c r="A17" i="1" s="1"/>
  <c r="A18" i="1" s="1"/>
  <c r="N71" i="1"/>
  <c r="U71" i="1" s="1"/>
  <c r="M48" i="1"/>
  <c r="L48" i="1"/>
  <c r="M15" i="1"/>
  <c r="L15" i="1"/>
  <c r="K31" i="1"/>
  <c r="K32" i="1"/>
  <c r="K33" i="1"/>
  <c r="K34" i="1"/>
  <c r="K36" i="1"/>
  <c r="K37" i="1"/>
  <c r="K38" i="1"/>
  <c r="K39" i="1"/>
  <c r="K40" i="1"/>
  <c r="K41" i="1"/>
  <c r="K43" i="1"/>
  <c r="K44" i="1"/>
  <c r="K45" i="1"/>
  <c r="K46" i="1"/>
  <c r="K47" i="1"/>
  <c r="K49" i="1"/>
  <c r="K50" i="1"/>
  <c r="K51" i="1"/>
  <c r="K52" i="1"/>
  <c r="L52" i="1"/>
  <c r="M52" i="1"/>
  <c r="K53" i="1"/>
  <c r="K54" i="1"/>
  <c r="K55" i="1"/>
  <c r="K56" i="1"/>
  <c r="L56" i="1"/>
  <c r="M56" i="1"/>
  <c r="K57" i="1"/>
  <c r="L57" i="1"/>
  <c r="M57" i="1"/>
  <c r="K58" i="1"/>
  <c r="L58" i="1"/>
  <c r="M58" i="1"/>
  <c r="K59" i="1"/>
  <c r="K60" i="1"/>
  <c r="K61" i="1"/>
  <c r="U79" i="1"/>
  <c r="R79" i="1"/>
  <c r="U73" i="1" s="1"/>
  <c r="E61" i="1"/>
  <c r="L61" i="1" s="1"/>
  <c r="E60" i="1"/>
  <c r="L60" i="1" s="1"/>
  <c r="E59" i="1"/>
  <c r="M59" i="1" s="1"/>
  <c r="E55" i="1"/>
  <c r="L55" i="1" s="1"/>
  <c r="E54" i="1"/>
  <c r="L54" i="1" s="1"/>
  <c r="E53" i="1"/>
  <c r="L53" i="1" s="1"/>
  <c r="E51" i="1"/>
  <c r="L51" i="1" s="1"/>
  <c r="E50" i="1"/>
  <c r="M50" i="1" s="1"/>
  <c r="E49" i="1"/>
  <c r="L49" i="1" s="1"/>
  <c r="E47" i="1"/>
  <c r="L47" i="1" s="1"/>
  <c r="E46" i="1"/>
  <c r="L46" i="1" s="1"/>
  <c r="E45" i="1"/>
  <c r="L45" i="1" s="1"/>
  <c r="E44" i="1"/>
  <c r="L44" i="1" s="1"/>
  <c r="E43" i="1"/>
  <c r="L43" i="1" s="1"/>
  <c r="E41" i="1"/>
  <c r="L41" i="1" s="1"/>
  <c r="E40" i="1"/>
  <c r="L40" i="1" s="1"/>
  <c r="E39" i="1"/>
  <c r="L39" i="1" s="1"/>
  <c r="E38" i="1"/>
  <c r="L38" i="1" s="1"/>
  <c r="E37" i="1"/>
  <c r="L37" i="1" s="1"/>
  <c r="E36" i="1"/>
  <c r="L36" i="1" s="1"/>
  <c r="E34" i="1"/>
  <c r="L34" i="1" s="1"/>
  <c r="E33" i="1"/>
  <c r="M33" i="1" s="1"/>
  <c r="E32" i="1"/>
  <c r="L32" i="1" s="1"/>
  <c r="E31" i="1"/>
  <c r="L31" i="1" s="1"/>
  <c r="E30" i="1"/>
  <c r="E29" i="1"/>
  <c r="E28" i="1"/>
  <c r="E27" i="1"/>
  <c r="E26" i="1"/>
  <c r="L26" i="1" s="1"/>
  <c r="E23" i="1"/>
  <c r="E22" i="1"/>
  <c r="E21" i="1"/>
  <c r="E20" i="1"/>
  <c r="E19" i="1"/>
  <c r="E18" i="1"/>
  <c r="E17" i="1"/>
  <c r="E16" i="1"/>
  <c r="E13" i="1"/>
  <c r="E12" i="1"/>
  <c r="E11" i="1"/>
  <c r="E10" i="1"/>
  <c r="E9" i="1"/>
  <c r="F3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5" i="2"/>
  <c r="A4" i="2"/>
  <c r="A3" i="2"/>
  <c r="K10" i="1"/>
  <c r="K11" i="1"/>
  <c r="K12" i="1"/>
  <c r="K13" i="1"/>
  <c r="K14" i="1"/>
  <c r="K16" i="1"/>
  <c r="M26" i="1" l="1"/>
  <c r="A19" i="1"/>
  <c r="A20" i="1" s="1"/>
  <c r="A21" i="1" s="1"/>
  <c r="A22" i="1" s="1"/>
  <c r="A23" i="1" s="1"/>
  <c r="A24" i="1" s="1"/>
  <c r="A25" i="1" s="1"/>
  <c r="A26" i="1" s="1"/>
  <c r="M60" i="1"/>
  <c r="L59" i="1"/>
  <c r="M55" i="1"/>
  <c r="L50" i="1"/>
  <c r="M46" i="1"/>
  <c r="M38" i="1"/>
  <c r="L33" i="1"/>
  <c r="U74" i="1"/>
  <c r="U81" i="1" s="1"/>
  <c r="U84" i="1" s="1"/>
  <c r="M43" i="1"/>
  <c r="M49" i="1"/>
  <c r="M40" i="1"/>
  <c r="M32" i="1"/>
  <c r="M54" i="1"/>
  <c r="M45" i="1"/>
  <c r="M37" i="1"/>
  <c r="M61" i="1"/>
  <c r="M51" i="1"/>
  <c r="M41" i="1"/>
  <c r="M34" i="1"/>
  <c r="M47" i="1"/>
  <c r="M39" i="1"/>
  <c r="M31" i="1"/>
  <c r="M53" i="1"/>
  <c r="M44" i="1"/>
  <c r="M36" i="1"/>
  <c r="M17" i="1"/>
  <c r="L12" i="1"/>
  <c r="M30" i="1"/>
  <c r="M29" i="1"/>
  <c r="M28" i="1"/>
  <c r="M27" i="1"/>
  <c r="M9" i="1"/>
  <c r="M16" i="1"/>
  <c r="M23" i="1"/>
  <c r="M14" i="1"/>
  <c r="M22" i="1"/>
  <c r="M21" i="1"/>
  <c r="M20" i="1"/>
  <c r="M12" i="1"/>
  <c r="M11" i="1"/>
  <c r="M19" i="1"/>
  <c r="M13" i="1"/>
  <c r="M18" i="1"/>
  <c r="M10" i="1"/>
  <c r="K9" i="1"/>
  <c r="A27" i="1" l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K17" i="1"/>
  <c r="K18" i="1"/>
  <c r="K19" i="1"/>
  <c r="K20" i="1"/>
  <c r="K21" i="1"/>
  <c r="K22" i="1"/>
  <c r="K23" i="1"/>
  <c r="K26" i="1"/>
  <c r="K27" i="1"/>
  <c r="K28" i="1"/>
  <c r="K29" i="1"/>
  <c r="K30" i="1"/>
  <c r="A39" i="1" l="1"/>
  <c r="A40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L11" i="1" l="1"/>
  <c r="L29" i="1"/>
  <c r="L17" i="1"/>
  <c r="L16" i="1"/>
  <c r="L13" i="1"/>
  <c r="L23" i="1"/>
  <c r="L19" i="1"/>
  <c r="L27" i="1"/>
  <c r="L28" i="1"/>
  <c r="L21" i="1"/>
  <c r="L30" i="1"/>
  <c r="L22" i="1"/>
  <c r="L10" i="1"/>
  <c r="L14" i="1"/>
  <c r="L9" i="1"/>
  <c r="L18" i="1"/>
  <c r="L20" i="1"/>
</calcChain>
</file>

<file path=xl/sharedStrings.xml><?xml version="1.0" encoding="utf-8"?>
<sst xmlns="http://schemas.openxmlformats.org/spreadsheetml/2006/main" count="453" uniqueCount="281">
  <si>
    <t>RUC</t>
  </si>
  <si>
    <t>AFP NET</t>
  </si>
  <si>
    <t>SUNAT VIRTUAL</t>
  </si>
  <si>
    <t>ADM0001</t>
  </si>
  <si>
    <t>VENCIMIENTO</t>
  </si>
  <si>
    <t>PERIODO TRIBUTARIO</t>
  </si>
  <si>
    <t>ÚLTIMO DÍGITO DEL RUC</t>
  </si>
  <si>
    <t>FECHA DE VENCIMIENTO SEGÚN EL ÚLTIMO DÍGITO DEL RUC</t>
  </si>
  <si>
    <t>PDT MENSUAL</t>
  </si>
  <si>
    <t xml:space="preserve">FECHA DE VENCIMIENTO </t>
  </si>
  <si>
    <t>PERIODO TRIBUTARIO:</t>
  </si>
  <si>
    <t>BC</t>
  </si>
  <si>
    <t>VENCIMIENTO PDTs Y DECLARACIONES MENSUALES</t>
  </si>
  <si>
    <t>USUARIOS Y CLAVES</t>
  </si>
  <si>
    <t>VENCIMIENTOS</t>
  </si>
  <si>
    <t>IDENTIFICACION DEL CLIENTE</t>
  </si>
  <si>
    <t>RER</t>
  </si>
  <si>
    <t>Razón Social / Apellidos y Nombres</t>
  </si>
  <si>
    <t>Régimen Tributario</t>
  </si>
  <si>
    <t>Último Digito</t>
  </si>
  <si>
    <t>Usuario</t>
  </si>
  <si>
    <t>Clave</t>
  </si>
  <si>
    <t>Código Envío</t>
  </si>
  <si>
    <t>CÓDIGO</t>
  </si>
  <si>
    <t>▼</t>
  </si>
  <si>
    <t>Mype Tributario</t>
  </si>
  <si>
    <t>IMPORTANTE: Solo ingresa y borra información de las celdas en blanco; las celdas sombreadas con colores contienen fórmulas que sirven para el funcionamiento de la plantila.</t>
  </si>
  <si>
    <t>Vencimiento AFP Net</t>
  </si>
  <si>
    <t>4216-C42F-6A61</t>
  </si>
  <si>
    <t>LIBROS ELECTRÓNICOS -SIRE</t>
  </si>
  <si>
    <t>VENCIMIENTO RCE Y RVIE SIRE</t>
  </si>
  <si>
    <t>13/02/2026</t>
  </si>
  <si>
    <t>13/03/2026</t>
  </si>
  <si>
    <t>16/04/2026</t>
  </si>
  <si>
    <t>15/05/2026</t>
  </si>
  <si>
    <t>12/06/2026</t>
  </si>
  <si>
    <t>14/07/2026</t>
  </si>
  <si>
    <t>17/08/2026</t>
  </si>
  <si>
    <t>14/09/2026</t>
  </si>
  <si>
    <t>15/10/2026</t>
  </si>
  <si>
    <t>13/11/2026</t>
  </si>
  <si>
    <t>16/12/2026</t>
  </si>
  <si>
    <t>15/01/2027</t>
  </si>
  <si>
    <t>16/02/2026</t>
  </si>
  <si>
    <t>16/03/2026</t>
  </si>
  <si>
    <t>17/04/2026</t>
  </si>
  <si>
    <t>18/05/2026</t>
  </si>
  <si>
    <t>15/06/2026</t>
  </si>
  <si>
    <t>15/07/2026</t>
  </si>
  <si>
    <t>18/08/2026</t>
  </si>
  <si>
    <t>15/09/2026</t>
  </si>
  <si>
    <t>16/10/2026</t>
  </si>
  <si>
    <t>16/11/2026</t>
  </si>
  <si>
    <t>17/12/2026</t>
  </si>
  <si>
    <t>18/01/2027</t>
  </si>
  <si>
    <t>17/02/2026</t>
  </si>
  <si>
    <t>17/03/2026</t>
  </si>
  <si>
    <t>20/04/2026</t>
  </si>
  <si>
    <t>19/05/2026</t>
  </si>
  <si>
    <t>16/06/2026</t>
  </si>
  <si>
    <t>16/07/2026</t>
  </si>
  <si>
    <t>19/08/2026</t>
  </si>
  <si>
    <t>16/09/2026</t>
  </si>
  <si>
    <t>19/10/2026</t>
  </si>
  <si>
    <t>17/11/2026</t>
  </si>
  <si>
    <t>18/12/2026</t>
  </si>
  <si>
    <t>19/01/2027</t>
  </si>
  <si>
    <t>18/02/2026</t>
  </si>
  <si>
    <t>18/03/2026</t>
  </si>
  <si>
    <t>21/04/2026</t>
  </si>
  <si>
    <t>20/05/2026</t>
  </si>
  <si>
    <t>17/06/2026</t>
  </si>
  <si>
    <t>17/07/2026</t>
  </si>
  <si>
    <t>20/08/2026</t>
  </si>
  <si>
    <t>17/09/2026</t>
  </si>
  <si>
    <t>20/10/2026</t>
  </si>
  <si>
    <t>18/11/2026</t>
  </si>
  <si>
    <t>21/12/2026</t>
  </si>
  <si>
    <t>20/01/2027</t>
  </si>
  <si>
    <t>19/02/2026</t>
  </si>
  <si>
    <t>19/03/2026</t>
  </si>
  <si>
    <t>22/04/2026</t>
  </si>
  <si>
    <t>21/05/2026</t>
  </si>
  <si>
    <t>18/06/2026</t>
  </si>
  <si>
    <t>20/07/2026</t>
  </si>
  <si>
    <t>21/08/2026</t>
  </si>
  <si>
    <t>18/09/2026</t>
  </si>
  <si>
    <t>21/10/2026</t>
  </si>
  <si>
    <t>19/11/2026</t>
  </si>
  <si>
    <t>22/12/2026</t>
  </si>
  <si>
    <t>21/01/2027</t>
  </si>
  <si>
    <t>20/02/2026</t>
  </si>
  <si>
    <t>20/03/2026</t>
  </si>
  <si>
    <t>23/04/2026</t>
  </si>
  <si>
    <t>22/05/2026</t>
  </si>
  <si>
    <t>19/06/2026</t>
  </si>
  <si>
    <t>21/07/2026</t>
  </si>
  <si>
    <t>24/08/2026</t>
  </si>
  <si>
    <t>21/09/2026</t>
  </si>
  <si>
    <t>22/10/2026</t>
  </si>
  <si>
    <t>20/11/2026</t>
  </si>
  <si>
    <t>23/12/2026</t>
  </si>
  <si>
    <t>22/01/2027</t>
  </si>
  <si>
    <t>23/02/2026</t>
  </si>
  <si>
    <t>23/03/2026</t>
  </si>
  <si>
    <t>24/04/2026</t>
  </si>
  <si>
    <t>25/05/2026</t>
  </si>
  <si>
    <t>22/06/2026</t>
  </si>
  <si>
    <t>22/07/2026</t>
  </si>
  <si>
    <t>25/08/2026</t>
  </si>
  <si>
    <t>22/09/2026</t>
  </si>
  <si>
    <t>23/10/2026</t>
  </si>
  <si>
    <t>23/11/2026</t>
  </si>
  <si>
    <t>24/12/2026</t>
  </si>
  <si>
    <t>25/01/2027</t>
  </si>
  <si>
    <t>PLANTILLA PARA CONTROL DE VENCIMIENTOS - AÑO 2026</t>
  </si>
  <si>
    <t>SUPERMARKET EL GOOL SAC</t>
  </si>
  <si>
    <t>SSENECES</t>
  </si>
  <si>
    <t>SUPERMARKe10</t>
  </si>
  <si>
    <t>Facisac10@</t>
  </si>
  <si>
    <t>GUERRERO RENGIFO VALERIA</t>
  </si>
  <si>
    <t>OWNRIMEO</t>
  </si>
  <si>
    <t>nhardohns</t>
  </si>
  <si>
    <t>BUILDINGS ENGINEERS EIRL</t>
  </si>
  <si>
    <t>EIGHTENT</t>
  </si>
  <si>
    <t>quityronf</t>
  </si>
  <si>
    <t>VIDAURE BALDERA JORGE LUIS</t>
  </si>
  <si>
    <t>AGIBLUIL</t>
  </si>
  <si>
    <t>sercatemn</t>
  </si>
  <si>
    <t>QUISPE VASQUEZ ELSA</t>
  </si>
  <si>
    <t>K9VEWXFJ</t>
  </si>
  <si>
    <t>ctLQaTmbm</t>
  </si>
  <si>
    <t>HONGZHI S.A.C.</t>
  </si>
  <si>
    <t>INTHATOR</t>
  </si>
  <si>
    <t>Hzhisac1</t>
  </si>
  <si>
    <t>OCMIN DOROTEO BLADIMIR</t>
  </si>
  <si>
    <t>ANTOCMIN</t>
  </si>
  <si>
    <t>MANTILLA DIAZ SIMON  ALCIDES</t>
  </si>
  <si>
    <t>CUKVZBPC</t>
  </si>
  <si>
    <t>dLRYGDiVL</t>
  </si>
  <si>
    <t>ALOR DAVILA MARILIN ROXANA</t>
  </si>
  <si>
    <t>Marilin1986</t>
  </si>
  <si>
    <t>DIAZ PAZ JUAN</t>
  </si>
  <si>
    <t>SCOCANGO</t>
  </si>
  <si>
    <t>rmynogero</t>
  </si>
  <si>
    <t>LUIS FERNANDO PINEDO CALDERON</t>
  </si>
  <si>
    <t>Fernando91</t>
  </si>
  <si>
    <t>CONTRERAS GAMBOA LENAR</t>
  </si>
  <si>
    <t>LENARECG</t>
  </si>
  <si>
    <t>SERVIDOR</t>
  </si>
  <si>
    <t>ALVARES SEIJAS GILDA ROSARIO</t>
  </si>
  <si>
    <t>OVEREHRA</t>
  </si>
  <si>
    <t>etendrubl</t>
  </si>
  <si>
    <t>RODRIGUEZ VASQUEZ JULIO LANGLE</t>
  </si>
  <si>
    <t>00968665</t>
  </si>
  <si>
    <t>Julio123</t>
  </si>
  <si>
    <t>CONDONINIOS PIZARRO EIRL</t>
  </si>
  <si>
    <t>DSPATENT</t>
  </si>
  <si>
    <t>acclaunkl</t>
  </si>
  <si>
    <t>CONSTRUCTORES Y SERVICIOS GENERALES JS EIRL</t>
  </si>
  <si>
    <t>Medina20</t>
  </si>
  <si>
    <t>NEGOCIOS LUANVIP EIRL</t>
  </si>
  <si>
    <t>Luanvip20</t>
  </si>
  <si>
    <t>GOMEZ VERGARAY LEIVINEZ REGNIER</t>
  </si>
  <si>
    <t>GOUNDOUT</t>
  </si>
  <si>
    <t>wiseriete</t>
  </si>
  <si>
    <t>GRUPO EMPRESARIAL BEEN 10 EIRL</t>
  </si>
  <si>
    <t>LIELINGS</t>
  </si>
  <si>
    <t>ishoyarkl</t>
  </si>
  <si>
    <t>CORPORACION Y SERVICIOS GENERALES EJUMOSA E.I.R.L.</t>
  </si>
  <si>
    <t>BULLUCLE</t>
  </si>
  <si>
    <t>ulioubbil</t>
  </si>
  <si>
    <t>MI PC INTERNACIONAL</t>
  </si>
  <si>
    <t>NILASCUI</t>
  </si>
  <si>
    <t>Mipc1000</t>
  </si>
  <si>
    <t>LA ROCA BATISTA BAZAR EIRL</t>
  </si>
  <si>
    <t>09555025</t>
  </si>
  <si>
    <t>4785Ze</t>
  </si>
  <si>
    <t>JAIME</t>
  </si>
  <si>
    <t>Victor10</t>
  </si>
  <si>
    <t>GARCIA RIVA NATING MARCELO</t>
  </si>
  <si>
    <t>ABLIVENE</t>
  </si>
  <si>
    <t>raneadous</t>
  </si>
  <si>
    <t>ASOC. DE GANADEROS LOS TRIUNFADORES DE BAGAZAN</t>
  </si>
  <si>
    <t>LLOTTACA</t>
  </si>
  <si>
    <t>thovelena</t>
  </si>
  <si>
    <t>VERA CASTRO JENRRI</t>
  </si>
  <si>
    <t>EAVEIGAL</t>
  </si>
  <si>
    <t>nthorimus</t>
  </si>
  <si>
    <t>MEZONES ALBERCA MARIA DEL PILAR</t>
  </si>
  <si>
    <t>LiliSandra15</t>
  </si>
  <si>
    <t>HONGYE BELLAVISTA SAC</t>
  </si>
  <si>
    <t>VERICISR</t>
  </si>
  <si>
    <t>strialtee</t>
  </si>
  <si>
    <t>GOOLTEC PERU SAC</t>
  </si>
  <si>
    <t>Admin123@</t>
  </si>
  <si>
    <t>ESS EXCLUSIVIDADES SOL SOL EIRL.</t>
  </si>
  <si>
    <t>ESSsolsol20</t>
  </si>
  <si>
    <t>POLLERIA CHIKEN EIRL</t>
  </si>
  <si>
    <t>CHUSTREL</t>
  </si>
  <si>
    <t>Polleria2023</t>
  </si>
  <si>
    <t>MOVIL SYSTEM EXPERTOS EN TECNOLOGIA</t>
  </si>
  <si>
    <t>Misael123@</t>
  </si>
  <si>
    <t>POLLOS MUÑOZ EIRL</t>
  </si>
  <si>
    <t>BLADEFUR</t>
  </si>
  <si>
    <t>toweinhan</t>
  </si>
  <si>
    <t>MUÑOZ LLAJA WILSON</t>
  </si>
  <si>
    <t>ETIANCES</t>
  </si>
  <si>
    <t>ogonketon</t>
  </si>
  <si>
    <t>CREDITOS TOCACHE EIRL</t>
  </si>
  <si>
    <t>GATHERSA</t>
  </si>
  <si>
    <t>coveriatt</t>
  </si>
  <si>
    <t>FACISAC</t>
  </si>
  <si>
    <t>SIGGINGR</t>
  </si>
  <si>
    <t>iplatellu</t>
  </si>
  <si>
    <t>SHAPIAMA DEL AGUILA MARIANA</t>
  </si>
  <si>
    <t>ARTEFACT</t>
  </si>
  <si>
    <t>Hogar1987</t>
  </si>
  <si>
    <t>MELAMINERA CONTRERAS EIRL</t>
  </si>
  <si>
    <t>Santos17</t>
  </si>
  <si>
    <t>INVERSIONES Y MODAS VALDERA  EIRL</t>
  </si>
  <si>
    <t>OHAURIAN</t>
  </si>
  <si>
    <t>anordaldp</t>
  </si>
  <si>
    <t>CORPORACION SUPERTEC PERU SAC</t>
  </si>
  <si>
    <t>Supertec2020</t>
  </si>
  <si>
    <t>VALDERA DAMIAN JUAN CARLOS</t>
  </si>
  <si>
    <t>NEYCLAMF</t>
  </si>
  <si>
    <t>llowinleo</t>
  </si>
  <si>
    <t>SALAS FASABI JUNIOR</t>
  </si>
  <si>
    <t>ANDRAYTI</t>
  </si>
  <si>
    <t>liumbitos</t>
  </si>
  <si>
    <t>CHUMBE HOYOS SOTIL</t>
  </si>
  <si>
    <t>00974364</t>
  </si>
  <si>
    <t>So1234</t>
  </si>
  <si>
    <t>JHONY RENGIFO SOL SOL</t>
  </si>
  <si>
    <t>JHORSOL1</t>
  </si>
  <si>
    <t>HUAMAN MORENO JOSE FLORIAN</t>
  </si>
  <si>
    <t>Gesus30</t>
  </si>
  <si>
    <t>HONGWANG SAC</t>
  </si>
  <si>
    <t>TONGUSTO</t>
  </si>
  <si>
    <t>Lin12345</t>
  </si>
  <si>
    <t>GRUPO EMPRESARIAL PIZARRO EIRL</t>
  </si>
  <si>
    <t>ARDCALYH</t>
  </si>
  <si>
    <t>iterchebu</t>
  </si>
  <si>
    <t>N°</t>
  </si>
  <si>
    <t>SERVICIOS FIJOS</t>
  </si>
  <si>
    <t>INGRESOS</t>
  </si>
  <si>
    <t>ALQUILER</t>
  </si>
  <si>
    <t>GASTOS FIJOS</t>
  </si>
  <si>
    <t>LIMPIEZA</t>
  </si>
  <si>
    <t>SALDO</t>
  </si>
  <si>
    <t>AGUA Y LUZ</t>
  </si>
  <si>
    <t>pago moto</t>
  </si>
  <si>
    <t>SEGURO</t>
  </si>
  <si>
    <t>COLEGIAL</t>
  </si>
  <si>
    <t>CEL</t>
  </si>
  <si>
    <t>LETRA OH</t>
  </si>
  <si>
    <t>GASOLINA</t>
  </si>
  <si>
    <t>lote tarapoto</t>
  </si>
  <si>
    <t>TOTAL</t>
  </si>
  <si>
    <t>SUB TOTAL</t>
  </si>
  <si>
    <t>SHABABAT</t>
  </si>
  <si>
    <t>ALIMENTACION</t>
  </si>
  <si>
    <t>AHORRO MENSUAL</t>
  </si>
  <si>
    <t>USUARIO</t>
  </si>
  <si>
    <t>CLAVE</t>
  </si>
  <si>
    <t>GRUPO EL GOOL SERVICIOS GENERALES Y LOGISTICOS SAC</t>
  </si>
  <si>
    <t>Marilin10@</t>
  </si>
  <si>
    <t>GRUPO EMPRESARIAL HUAMAN FLORES</t>
  </si>
  <si>
    <t>Jose26</t>
  </si>
  <si>
    <t>VIDAURRE SUCLUPE JHON ANDERSON</t>
  </si>
  <si>
    <t>EXPORTADORA JSHAPIS SAC</t>
  </si>
  <si>
    <t>00970461</t>
  </si>
  <si>
    <t>Jshapi10@</t>
  </si>
  <si>
    <t>Jhon29x</t>
  </si>
  <si>
    <t>CONTRERAS GAMBOA ELVIS</t>
  </si>
  <si>
    <t>42257293</t>
  </si>
  <si>
    <t>Contreras23</t>
  </si>
  <si>
    <t>00968347</t>
  </si>
  <si>
    <t>FASABI PANDURO ROSA JULIANA</t>
  </si>
  <si>
    <t>Rosa16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</si>
</sst>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;@"/>
    <numFmt numFmtId="165" formatCode="dd\ &quot;de&quot;\ mmmm"/>
    <numFmt numFmtId="166" formatCode="_ &quot;S/&quot;* #,##0.00_ ;_ &quot;S/&quot;* \-#,##0.00_ ;_ &quot;S/&quot;* &quot;-&quot;??_ ;_ @_ "/>
    <numFmt numFmtId="167" formatCode="_ &quot;S/&quot;\ * #,##0.00_ ;_ &quot;S/&quot;\ * \-#,##0.00_ ;_ &quot;S/&quot;\ * &quot;-&quot;??_ ;_ @_ "/>
  </numFmts>
  <fonts count="4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</font>
    <font>
      <sz val="10"/>
      <color rgb="FFFF0000"/>
      <name val="Arial"/>
      <family val="2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3" tint="0.3999755851924192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10"/>
      <color theme="3" tint="0.39997558519241921"/>
      <name val="Arial"/>
      <family val="2"/>
    </font>
    <font>
      <sz val="10"/>
      <color rgb="FF0070C0"/>
      <name val="Arial"/>
      <family val="2"/>
    </font>
    <font>
      <sz val="10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2060"/>
      <name val="Arial"/>
      <family val="2"/>
    </font>
    <font>
      <sz val="10"/>
      <color rgb="FF00206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0"/>
      <color rgb="FF002060"/>
      <name val="Arial"/>
      <family val="2"/>
    </font>
    <font>
      <sz val="9"/>
      <color rgb="FF002060"/>
      <name val="Verdana"/>
      <family val="2"/>
    </font>
    <font>
      <sz val="11"/>
      <color theme="5" tint="-0.499984740745262"/>
      <name val="Calibri"/>
      <family val="2"/>
      <scheme val="minor"/>
    </font>
    <font>
      <sz val="10"/>
      <color theme="5" tint="-0.499984740745262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sz val="10"/>
      <color theme="5" tint="-0.499984740745262"/>
      <name val="Arial"/>
      <family val="2"/>
    </font>
    <font>
      <b/>
      <sz val="10"/>
      <color theme="5" tint="-0.499984740745262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99FF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11" fillId="0" borderId="0"/>
    <xf numFmtId="0" fontId="13" fillId="0" borderId="0" applyNumberFormat="0" applyFill="0" applyBorder="0" applyAlignment="0" applyProtection="0"/>
  </cellStyleXfs>
  <cellXfs count="270">
    <xf numFmtId="0" fontId="0" fillId="0" borderId="0" xfId="0"/>
    <xf numFmtId="0" fontId="0" fillId="0" borderId="1" xfId="0" applyBorder="1"/>
    <xf numFmtId="17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49" fontId="0" fillId="0" borderId="0" xfId="0" applyNumberFormat="1"/>
    <xf numFmtId="0" fontId="0" fillId="0" borderId="1" xfId="0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164" fontId="2" fillId="2" borderId="3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7" fontId="0" fillId="0" borderId="2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65" fontId="0" fillId="3" borderId="1" xfId="0" applyNumberForma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6" fillId="0" borderId="0" xfId="0" applyFont="1"/>
    <xf numFmtId="17" fontId="6" fillId="0" borderId="0" xfId="0" applyNumberFormat="1" applyFont="1"/>
    <xf numFmtId="0" fontId="4" fillId="5" borderId="0" xfId="0" applyFont="1" applyFill="1" applyAlignment="1">
      <alignment horizontal="center" vertical="center"/>
    </xf>
    <xf numFmtId="0" fontId="7" fillId="0" borderId="0" xfId="0" applyFont="1"/>
    <xf numFmtId="164" fontId="2" fillId="7" borderId="3" xfId="0" applyNumberFormat="1" applyFont="1" applyFill="1" applyBorder="1" applyAlignment="1">
      <alignment horizontal="center" vertical="center" wrapText="1"/>
    </xf>
    <xf numFmtId="164" fontId="2" fillId="9" borderId="3" xfId="0" applyNumberFormat="1" applyFont="1" applyFill="1" applyBorder="1" applyAlignment="1">
      <alignment horizontal="center" vertical="center" wrapText="1"/>
    </xf>
    <xf numFmtId="164" fontId="2" fillId="2" borderId="4" xfId="0" applyNumberFormat="1" applyFont="1" applyFill="1" applyBorder="1" applyAlignment="1">
      <alignment horizontal="center" vertical="center" wrapText="1"/>
    </xf>
    <xf numFmtId="17" fontId="5" fillId="0" borderId="1" xfId="0" quotePrefix="1" applyNumberFormat="1" applyFont="1" applyBorder="1" applyAlignment="1">
      <alignment horizontal="center" vertical="center"/>
    </xf>
    <xf numFmtId="164" fontId="2" fillId="2" borderId="5" xfId="0" applyNumberFormat="1" applyFont="1" applyFill="1" applyBorder="1" applyAlignment="1">
      <alignment horizontal="center" vertical="center" wrapText="1"/>
    </xf>
    <xf numFmtId="14" fontId="0" fillId="0" borderId="2" xfId="0" applyNumberFormat="1" applyBorder="1" applyAlignment="1">
      <alignment horizontal="center"/>
    </xf>
    <xf numFmtId="0" fontId="15" fillId="10" borderId="15" xfId="0" applyFont="1" applyFill="1" applyBorder="1"/>
    <xf numFmtId="0" fontId="16" fillId="5" borderId="15" xfId="0" applyFont="1" applyFill="1" applyBorder="1" applyAlignment="1">
      <alignment horizontal="center"/>
    </xf>
    <xf numFmtId="1" fontId="17" fillId="5" borderId="15" xfId="0" applyNumberFormat="1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left"/>
    </xf>
    <xf numFmtId="0" fontId="18" fillId="5" borderId="15" xfId="0" applyFont="1" applyFill="1" applyBorder="1"/>
    <xf numFmtId="0" fontId="12" fillId="0" borderId="15" xfId="0" applyFont="1" applyBorder="1"/>
    <xf numFmtId="0" fontId="12" fillId="0" borderId="15" xfId="0" applyFont="1" applyBorder="1" applyAlignment="1">
      <alignment horizontal="center"/>
    </xf>
    <xf numFmtId="0" fontId="13" fillId="0" borderId="16" xfId="4" applyBorder="1" applyAlignment="1" applyProtection="1">
      <alignment horizontal="center"/>
    </xf>
    <xf numFmtId="0" fontId="13" fillId="0" borderId="17" xfId="4" applyBorder="1" applyAlignment="1" applyProtection="1">
      <alignment horizontal="center"/>
    </xf>
    <xf numFmtId="0" fontId="15" fillId="5" borderId="1" xfId="0" applyFont="1" applyFill="1" applyBorder="1"/>
    <xf numFmtId="0" fontId="16" fillId="5" borderId="1" xfId="0" applyFont="1" applyFill="1" applyBorder="1" applyAlignment="1">
      <alignment horizontal="center"/>
    </xf>
    <xf numFmtId="1" fontId="17" fillId="5" borderId="1" xfId="0" applyNumberFormat="1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left"/>
    </xf>
    <xf numFmtId="0" fontId="18" fillId="5" borderId="1" xfId="0" applyFont="1" applyFill="1" applyBorder="1"/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15" fillId="10" borderId="1" xfId="0" applyFont="1" applyFill="1" applyBorder="1"/>
    <xf numFmtId="0" fontId="15" fillId="10" borderId="17" xfId="0" applyFont="1" applyFill="1" applyBorder="1"/>
    <xf numFmtId="0" fontId="16" fillId="5" borderId="17" xfId="0" applyFont="1" applyFill="1" applyBorder="1" applyAlignment="1">
      <alignment horizontal="center"/>
    </xf>
    <xf numFmtId="1" fontId="17" fillId="5" borderId="17" xfId="0" applyNumberFormat="1" applyFont="1" applyFill="1" applyBorder="1" applyAlignment="1">
      <alignment horizontal="center" vertical="center"/>
    </xf>
    <xf numFmtId="0" fontId="15" fillId="5" borderId="17" xfId="0" applyFont="1" applyFill="1" applyBorder="1" applyAlignment="1">
      <alignment horizontal="left"/>
    </xf>
    <xf numFmtId="0" fontId="18" fillId="5" borderId="17" xfId="0" applyFont="1" applyFill="1" applyBorder="1"/>
    <xf numFmtId="0" fontId="12" fillId="0" borderId="17" xfId="0" applyFont="1" applyBorder="1"/>
    <xf numFmtId="0" fontId="12" fillId="0" borderId="17" xfId="0" applyFont="1" applyBorder="1" applyAlignment="1">
      <alignment horizontal="center"/>
    </xf>
    <xf numFmtId="0" fontId="24" fillId="5" borderId="2" xfId="0" applyFont="1" applyFill="1" applyBorder="1"/>
    <xf numFmtId="0" fontId="25" fillId="5" borderId="2" xfId="0" applyFont="1" applyFill="1" applyBorder="1" applyAlignment="1">
      <alignment horizontal="center"/>
    </xf>
    <xf numFmtId="1" fontId="26" fillId="5" borderId="2" xfId="0" applyNumberFormat="1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left"/>
    </xf>
    <xf numFmtId="0" fontId="27" fillId="5" borderId="2" xfId="0" applyFont="1" applyFill="1" applyBorder="1" applyAlignment="1">
      <alignment horizontal="left"/>
    </xf>
    <xf numFmtId="0" fontId="28" fillId="0" borderId="2" xfId="0" applyFont="1" applyBorder="1"/>
    <xf numFmtId="0" fontId="28" fillId="0" borderId="1" xfId="0" applyFont="1" applyBorder="1" applyAlignment="1">
      <alignment horizontal="center"/>
    </xf>
    <xf numFmtId="0" fontId="24" fillId="5" borderId="1" xfId="0" applyFont="1" applyFill="1" applyBorder="1"/>
    <xf numFmtId="0" fontId="25" fillId="5" borderId="1" xfId="0" applyFont="1" applyFill="1" applyBorder="1" applyAlignment="1">
      <alignment horizontal="center"/>
    </xf>
    <xf numFmtId="1" fontId="26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left"/>
    </xf>
    <xf numFmtId="0" fontId="27" fillId="5" borderId="1" xfId="0" applyFont="1" applyFill="1" applyBorder="1"/>
    <xf numFmtId="0" fontId="28" fillId="0" borderId="1" xfId="0" applyFont="1" applyBorder="1"/>
    <xf numFmtId="0" fontId="24" fillId="10" borderId="1" xfId="0" applyFont="1" applyFill="1" applyBorder="1"/>
    <xf numFmtId="0" fontId="13" fillId="0" borderId="1" xfId="4" applyBorder="1" applyAlignment="1" applyProtection="1">
      <alignment horizontal="center"/>
    </xf>
    <xf numFmtId="0" fontId="24" fillId="5" borderId="16" xfId="0" applyFont="1" applyFill="1" applyBorder="1" applyAlignment="1">
      <alignment horizontal="left"/>
    </xf>
    <xf numFmtId="0" fontId="30" fillId="5" borderId="2" xfId="0" applyFont="1" applyFill="1" applyBorder="1" applyAlignment="1">
      <alignment horizontal="left"/>
    </xf>
    <xf numFmtId="0" fontId="29" fillId="5" borderId="1" xfId="0" applyFont="1" applyFill="1" applyBorder="1"/>
    <xf numFmtId="0" fontId="3" fillId="5" borderId="1" xfId="0" applyFont="1" applyFill="1" applyBorder="1" applyAlignment="1">
      <alignment horizontal="center"/>
    </xf>
    <xf numFmtId="1" fontId="2" fillId="5" borderId="1" xfId="0" applyNumberFormat="1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left"/>
    </xf>
    <xf numFmtId="0" fontId="30" fillId="5" borderId="17" xfId="0" applyFont="1" applyFill="1" applyBorder="1"/>
    <xf numFmtId="0" fontId="29" fillId="10" borderId="1" xfId="0" applyFont="1" applyFill="1" applyBorder="1"/>
    <xf numFmtId="0" fontId="29" fillId="5" borderId="2" xfId="0" applyFont="1" applyFill="1" applyBorder="1" applyAlignment="1">
      <alignment horizontal="left"/>
    </xf>
    <xf numFmtId="0" fontId="30" fillId="5" borderId="2" xfId="0" applyFont="1" applyFill="1" applyBorder="1"/>
    <xf numFmtId="49" fontId="29" fillId="5" borderId="1" xfId="0" applyNumberFormat="1" applyFont="1" applyFill="1" applyBorder="1" applyAlignment="1">
      <alignment horizontal="left"/>
    </xf>
    <xf numFmtId="0" fontId="30" fillId="5" borderId="1" xfId="0" applyFont="1" applyFill="1" applyBorder="1"/>
    <xf numFmtId="0" fontId="29" fillId="5" borderId="1" xfId="0" applyFont="1" applyFill="1" applyBorder="1" applyAlignment="1">
      <alignment horizontal="left"/>
    </xf>
    <xf numFmtId="0" fontId="29" fillId="11" borderId="1" xfId="0" applyFont="1" applyFill="1" applyBorder="1"/>
    <xf numFmtId="0" fontId="15" fillId="5" borderId="19" xfId="0" applyFont="1" applyFill="1" applyBorder="1"/>
    <xf numFmtId="0" fontId="15" fillId="10" borderId="19" xfId="0" applyFont="1" applyFill="1" applyBorder="1"/>
    <xf numFmtId="49" fontId="15" fillId="5" borderId="1" xfId="0" applyNumberFormat="1" applyFont="1" applyFill="1" applyBorder="1" applyAlignment="1">
      <alignment horizontal="left"/>
    </xf>
    <xf numFmtId="0" fontId="15" fillId="10" borderId="20" xfId="0" applyFont="1" applyFill="1" applyBorder="1"/>
    <xf numFmtId="0" fontId="13" fillId="5" borderId="1" xfId="4" applyFill="1" applyBorder="1" applyAlignment="1" applyProtection="1"/>
    <xf numFmtId="0" fontId="31" fillId="10" borderId="19" xfId="0" applyFont="1" applyFill="1" applyBorder="1"/>
    <xf numFmtId="0" fontId="31" fillId="10" borderId="1" xfId="0" applyFont="1" applyFill="1" applyBorder="1"/>
    <xf numFmtId="0" fontId="32" fillId="5" borderId="1" xfId="0" applyFont="1" applyFill="1" applyBorder="1" applyAlignment="1">
      <alignment horizontal="center"/>
    </xf>
    <xf numFmtId="1" fontId="33" fillId="5" borderId="1" xfId="0" applyNumberFormat="1" applyFont="1" applyFill="1" applyBorder="1" applyAlignment="1">
      <alignment horizontal="center" vertical="center"/>
    </xf>
    <xf numFmtId="0" fontId="31" fillId="5" borderId="1" xfId="0" applyFont="1" applyFill="1" applyBorder="1" applyAlignment="1">
      <alignment horizontal="left"/>
    </xf>
    <xf numFmtId="0" fontId="35" fillId="5" borderId="1" xfId="0" applyFont="1" applyFill="1" applyBorder="1"/>
    <xf numFmtId="0" fontId="34" fillId="0" borderId="1" xfId="0" applyFont="1" applyBorder="1"/>
    <xf numFmtId="0" fontId="34" fillId="0" borderId="1" xfId="0" applyFont="1" applyBorder="1" applyAlignment="1">
      <alignment horizontal="center"/>
    </xf>
    <xf numFmtId="0" fontId="31" fillId="5" borderId="18" xfId="0" applyFont="1" applyFill="1" applyBorder="1"/>
    <xf numFmtId="0" fontId="31" fillId="5" borderId="23" xfId="0" applyFont="1" applyFill="1" applyBorder="1"/>
    <xf numFmtId="0" fontId="34" fillId="10" borderId="19" xfId="0" applyFont="1" applyFill="1" applyBorder="1"/>
    <xf numFmtId="0" fontId="34" fillId="10" borderId="1" xfId="0" applyFont="1" applyFill="1" applyBorder="1"/>
    <xf numFmtId="0" fontId="34" fillId="5" borderId="1" xfId="0" applyFont="1" applyFill="1" applyBorder="1" applyAlignment="1">
      <alignment horizontal="left"/>
    </xf>
    <xf numFmtId="0" fontId="34" fillId="5" borderId="1" xfId="0" applyFont="1" applyFill="1" applyBorder="1"/>
    <xf numFmtId="0" fontId="34" fillId="5" borderId="17" xfId="0" applyFont="1" applyFill="1" applyBorder="1"/>
    <xf numFmtId="0" fontId="32" fillId="5" borderId="17" xfId="0" applyFont="1" applyFill="1" applyBorder="1" applyAlignment="1">
      <alignment horizontal="center"/>
    </xf>
    <xf numFmtId="1" fontId="33" fillId="5" borderId="17" xfId="0" applyNumberFormat="1" applyFont="1" applyFill="1" applyBorder="1" applyAlignment="1">
      <alignment horizontal="center" vertical="center"/>
    </xf>
    <xf numFmtId="0" fontId="34" fillId="5" borderId="17" xfId="0" applyFont="1" applyFill="1" applyBorder="1" applyAlignment="1">
      <alignment horizontal="left"/>
    </xf>
    <xf numFmtId="0" fontId="34" fillId="0" borderId="17" xfId="0" applyFont="1" applyBorder="1"/>
    <xf numFmtId="0" fontId="34" fillId="0" borderId="17" xfId="0" applyFont="1" applyBorder="1" applyAlignment="1">
      <alignment horizontal="center"/>
    </xf>
    <xf numFmtId="0" fontId="37" fillId="5" borderId="1" xfId="0" applyFont="1" applyFill="1" applyBorder="1"/>
    <xf numFmtId="0" fontId="38" fillId="5" borderId="1" xfId="0" applyFont="1" applyFill="1" applyBorder="1" applyAlignment="1">
      <alignment horizontal="center"/>
    </xf>
    <xf numFmtId="1" fontId="39" fillId="5" borderId="1" xfId="0" applyNumberFormat="1" applyFont="1" applyFill="1" applyBorder="1" applyAlignment="1">
      <alignment horizontal="center" vertical="center"/>
    </xf>
    <xf numFmtId="0" fontId="37" fillId="5" borderId="1" xfId="0" applyFont="1" applyFill="1" applyBorder="1" applyAlignment="1">
      <alignment horizontal="left"/>
    </xf>
    <xf numFmtId="0" fontId="37" fillId="0" borderId="1" xfId="0" applyFont="1" applyBorder="1"/>
    <xf numFmtId="0" fontId="37" fillId="0" borderId="1" xfId="0" applyFont="1" applyBorder="1" applyAlignment="1">
      <alignment horizontal="center"/>
    </xf>
    <xf numFmtId="49" fontId="37" fillId="5" borderId="1" xfId="0" applyNumberFormat="1" applyFont="1" applyFill="1" applyBorder="1" applyAlignment="1">
      <alignment horizontal="left"/>
    </xf>
    <xf numFmtId="0" fontId="40" fillId="5" borderId="1" xfId="0" applyFont="1" applyFill="1" applyBorder="1"/>
    <xf numFmtId="0" fontId="40" fillId="5" borderId="1" xfId="0" applyFont="1" applyFill="1" applyBorder="1" applyAlignment="1">
      <alignment horizontal="left"/>
    </xf>
    <xf numFmtId="0" fontId="41" fillId="5" borderId="1" xfId="0" applyFont="1" applyFill="1" applyBorder="1"/>
    <xf numFmtId="0" fontId="40" fillId="10" borderId="2" xfId="0" applyFont="1" applyFill="1" applyBorder="1"/>
    <xf numFmtId="0" fontId="40" fillId="5" borderId="2" xfId="0" applyFont="1" applyFill="1" applyBorder="1" applyAlignment="1">
      <alignment horizontal="left"/>
    </xf>
    <xf numFmtId="0" fontId="41" fillId="5" borderId="2" xfId="0" applyFont="1" applyFill="1" applyBorder="1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4" fillId="10" borderId="22" xfId="0" applyFont="1" applyFill="1" applyBorder="1"/>
    <xf numFmtId="0" fontId="14" fillId="5" borderId="19" xfId="0" applyFont="1" applyFill="1" applyBorder="1"/>
    <xf numFmtId="0" fontId="29" fillId="5" borderId="19" xfId="0" applyFont="1" applyFill="1" applyBorder="1"/>
    <xf numFmtId="0" fontId="29" fillId="10" borderId="19" xfId="0" applyFont="1" applyFill="1" applyBorder="1"/>
    <xf numFmtId="0" fontId="29" fillId="11" borderId="19" xfId="0" applyFont="1" applyFill="1" applyBorder="1"/>
    <xf numFmtId="0" fontId="0" fillId="0" borderId="1" xfId="0" applyBorder="1" applyAlignment="1">
      <alignment horizontal="center" vertical="center"/>
    </xf>
    <xf numFmtId="166" fontId="2" fillId="0" borderId="0" xfId="0" applyNumberFormat="1" applyFont="1"/>
    <xf numFmtId="0" fontId="42" fillId="0" borderId="0" xfId="0" applyFont="1"/>
    <xf numFmtId="167" fontId="2" fillId="0" borderId="0" xfId="0" applyNumberFormat="1" applyFont="1"/>
    <xf numFmtId="0" fontId="2" fillId="0" borderId="0" xfId="0" applyFont="1"/>
    <xf numFmtId="0" fontId="2" fillId="0" borderId="24" xfId="0" applyFont="1" applyBorder="1"/>
    <xf numFmtId="2" fontId="2" fillId="0" borderId="24" xfId="0" applyNumberFormat="1" applyFont="1" applyBorder="1"/>
    <xf numFmtId="0" fontId="0" fillId="0" borderId="24" xfId="0" applyBorder="1"/>
    <xf numFmtId="0" fontId="2" fillId="0" borderId="25" xfId="0" applyFont="1" applyBorder="1"/>
    <xf numFmtId="166" fontId="2" fillId="0" borderId="25" xfId="0" applyNumberFormat="1" applyFont="1" applyBorder="1"/>
    <xf numFmtId="0" fontId="0" fillId="0" borderId="26" xfId="0" applyBorder="1" applyAlignment="1">
      <alignment horizontal="center"/>
    </xf>
    <xf numFmtId="165" fontId="0" fillId="3" borderId="17" xfId="0" applyNumberFormat="1" applyFill="1" applyBorder="1" applyAlignment="1">
      <alignment horizontal="center" vertical="center"/>
    </xf>
    <xf numFmtId="0" fontId="29" fillId="5" borderId="18" xfId="0" applyFont="1" applyFill="1" applyBorder="1"/>
    <xf numFmtId="0" fontId="29" fillId="5" borderId="2" xfId="0" applyFont="1" applyFill="1" applyBorder="1" applyAlignment="1">
      <alignment horizontal="right"/>
    </xf>
    <xf numFmtId="0" fontId="3" fillId="5" borderId="2" xfId="0" applyFont="1" applyFill="1" applyBorder="1" applyAlignment="1">
      <alignment horizontal="center"/>
    </xf>
    <xf numFmtId="1" fontId="2" fillId="5" borderId="2" xfId="0" applyNumberFormat="1" applyFont="1" applyFill="1" applyBorder="1" applyAlignment="1">
      <alignment horizontal="center" vertical="center"/>
    </xf>
    <xf numFmtId="0" fontId="30" fillId="5" borderId="27" xfId="0" applyFont="1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165" fontId="0" fillId="3" borderId="2" xfId="0" applyNumberFormat="1" applyFill="1" applyBorder="1" applyAlignment="1">
      <alignment horizontal="center" vertical="center"/>
    </xf>
    <xf numFmtId="0" fontId="19" fillId="10" borderId="28" xfId="0" applyFont="1" applyFill="1" applyBorder="1"/>
    <xf numFmtId="0" fontId="20" fillId="10" borderId="15" xfId="0" applyFont="1" applyFill="1" applyBorder="1"/>
    <xf numFmtId="0" fontId="21" fillId="5" borderId="15" xfId="0" applyFont="1" applyFill="1" applyBorder="1" applyAlignment="1">
      <alignment horizontal="center"/>
    </xf>
    <xf numFmtId="1" fontId="19" fillId="5" borderId="15" xfId="0" applyNumberFormat="1" applyFont="1" applyFill="1" applyBorder="1" applyAlignment="1">
      <alignment horizontal="center" vertical="center"/>
    </xf>
    <xf numFmtId="0" fontId="22" fillId="5" borderId="15" xfId="0" applyFont="1" applyFill="1" applyBorder="1" applyAlignment="1">
      <alignment horizontal="left"/>
    </xf>
    <xf numFmtId="0" fontId="23" fillId="5" borderId="15" xfId="0" applyFont="1" applyFill="1" applyBorder="1"/>
    <xf numFmtId="0" fontId="20" fillId="0" borderId="15" xfId="0" applyFont="1" applyBorder="1"/>
    <xf numFmtId="0" fontId="12" fillId="0" borderId="21" xfId="0" applyFont="1" applyBorder="1" applyAlignment="1">
      <alignment horizontal="center"/>
    </xf>
    <xf numFmtId="0" fontId="13" fillId="0" borderId="21" xfId="4" applyBorder="1" applyAlignment="1" applyProtection="1">
      <alignment horizontal="center"/>
    </xf>
    <xf numFmtId="165" fontId="0" fillId="3" borderId="15" xfId="0" applyNumberFormat="1" applyFill="1" applyBorder="1" applyAlignment="1">
      <alignment horizontal="center" vertical="center"/>
    </xf>
    <xf numFmtId="165" fontId="0" fillId="3" borderId="29" xfId="0" applyNumberFormat="1" applyFill="1" applyBorder="1" applyAlignment="1">
      <alignment horizontal="center" vertical="center"/>
    </xf>
    <xf numFmtId="0" fontId="24" fillId="5" borderId="30" xfId="0" applyFont="1" applyFill="1" applyBorder="1"/>
    <xf numFmtId="165" fontId="0" fillId="3" borderId="31" xfId="0" applyNumberFormat="1" applyFill="1" applyBorder="1" applyAlignment="1">
      <alignment horizontal="center" vertical="center"/>
    </xf>
    <xf numFmtId="0" fontId="24" fillId="5" borderId="32" xfId="0" applyFont="1" applyFill="1" applyBorder="1"/>
    <xf numFmtId="0" fontId="24" fillId="10" borderId="32" xfId="0" applyFont="1" applyFill="1" applyBorder="1"/>
    <xf numFmtId="0" fontId="24" fillId="5" borderId="16" xfId="0" applyFont="1" applyFill="1" applyBorder="1"/>
    <xf numFmtId="0" fontId="25" fillId="5" borderId="16" xfId="0" applyFont="1" applyFill="1" applyBorder="1" applyAlignment="1">
      <alignment horizontal="center"/>
    </xf>
    <xf numFmtId="1" fontId="26" fillId="5" borderId="16" xfId="0" applyNumberFormat="1" applyFont="1" applyFill="1" applyBorder="1" applyAlignment="1">
      <alignment horizontal="center" vertical="center"/>
    </xf>
    <xf numFmtId="0" fontId="27" fillId="5" borderId="16" xfId="0" applyFont="1" applyFill="1" applyBorder="1"/>
    <xf numFmtId="0" fontId="28" fillId="0" borderId="16" xfId="0" applyFont="1" applyBorder="1"/>
    <xf numFmtId="0" fontId="28" fillId="0" borderId="16" xfId="0" applyFont="1" applyBorder="1" applyAlignment="1">
      <alignment horizontal="center"/>
    </xf>
    <xf numFmtId="165" fontId="0" fillId="3" borderId="16" xfId="0" applyNumberFormat="1" applyFill="1" applyBorder="1" applyAlignment="1">
      <alignment horizontal="center" vertical="center"/>
    </xf>
    <xf numFmtId="165" fontId="0" fillId="3" borderId="34" xfId="0" applyNumberFormat="1" applyFill="1" applyBorder="1" applyAlignment="1">
      <alignment horizontal="center" vertical="center"/>
    </xf>
    <xf numFmtId="0" fontId="29" fillId="5" borderId="20" xfId="0" applyFont="1" applyFill="1" applyBorder="1"/>
    <xf numFmtId="0" fontId="29" fillId="5" borderId="17" xfId="0" applyFont="1" applyFill="1" applyBorder="1"/>
    <xf numFmtId="0" fontId="3" fillId="5" borderId="17" xfId="0" applyFont="1" applyFill="1" applyBorder="1" applyAlignment="1">
      <alignment horizontal="center"/>
    </xf>
    <xf numFmtId="1" fontId="2" fillId="5" borderId="17" xfId="0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7" xfId="0" applyBorder="1" applyAlignment="1">
      <alignment horizontal="center"/>
    </xf>
    <xf numFmtId="0" fontId="31" fillId="10" borderId="18" xfId="0" applyFont="1" applyFill="1" applyBorder="1"/>
    <xf numFmtId="0" fontId="31" fillId="10" borderId="2" xfId="0" applyFont="1" applyFill="1" applyBorder="1"/>
    <xf numFmtId="0" fontId="32" fillId="5" borderId="2" xfId="0" applyFont="1" applyFill="1" applyBorder="1" applyAlignment="1">
      <alignment horizontal="center"/>
    </xf>
    <xf numFmtId="1" fontId="33" fillId="5" borderId="2" xfId="0" applyNumberFormat="1" applyFont="1" applyFill="1" applyBorder="1" applyAlignment="1">
      <alignment horizontal="center" vertical="center"/>
    </xf>
    <xf numFmtId="0" fontId="31" fillId="5" borderId="2" xfId="0" applyFont="1" applyFill="1" applyBorder="1" applyAlignment="1">
      <alignment horizontal="left"/>
    </xf>
    <xf numFmtId="0" fontId="13" fillId="5" borderId="2" xfId="4" applyFill="1" applyBorder="1" applyAlignment="1" applyProtection="1"/>
    <xf numFmtId="0" fontId="34" fillId="0" borderId="2" xfId="0" applyFont="1" applyBorder="1"/>
    <xf numFmtId="0" fontId="34" fillId="0" borderId="2" xfId="0" applyFont="1" applyBorder="1" applyAlignment="1">
      <alignment horizontal="center"/>
    </xf>
    <xf numFmtId="0" fontId="13" fillId="0" borderId="2" xfId="4" applyBorder="1" applyAlignment="1" applyProtection="1">
      <alignment horizontal="center"/>
    </xf>
    <xf numFmtId="0" fontId="15" fillId="10" borderId="28" xfId="0" applyFont="1" applyFill="1" applyBorder="1"/>
    <xf numFmtId="49" fontId="15" fillId="5" borderId="15" xfId="0" applyNumberFormat="1" applyFont="1" applyFill="1" applyBorder="1" applyAlignment="1">
      <alignment horizontal="left"/>
    </xf>
    <xf numFmtId="0" fontId="15" fillId="5" borderId="32" xfId="0" applyFont="1" applyFill="1" applyBorder="1"/>
    <xf numFmtId="0" fontId="15" fillId="10" borderId="32" xfId="0" applyFont="1" applyFill="1" applyBorder="1"/>
    <xf numFmtId="0" fontId="15" fillId="10" borderId="35" xfId="0" applyFont="1" applyFill="1" applyBorder="1"/>
    <xf numFmtId="0" fontId="15" fillId="10" borderId="33" xfId="0" applyFont="1" applyFill="1" applyBorder="1"/>
    <xf numFmtId="0" fontId="15" fillId="10" borderId="16" xfId="0" applyFont="1" applyFill="1" applyBorder="1"/>
    <xf numFmtId="0" fontId="16" fillId="5" borderId="16" xfId="0" applyFont="1" applyFill="1" applyBorder="1" applyAlignment="1">
      <alignment horizontal="center"/>
    </xf>
    <xf numFmtId="1" fontId="17" fillId="5" borderId="16" xfId="0" applyNumberFormat="1" applyFont="1" applyFill="1" applyBorder="1" applyAlignment="1">
      <alignment horizontal="center" vertical="center"/>
    </xf>
    <xf numFmtId="0" fontId="15" fillId="5" borderId="16" xfId="0" applyFont="1" applyFill="1" applyBorder="1" applyAlignment="1">
      <alignment horizontal="left"/>
    </xf>
    <xf numFmtId="0" fontId="18" fillId="5" borderId="16" xfId="0" applyFont="1" applyFill="1" applyBorder="1"/>
    <xf numFmtId="0" fontId="12" fillId="0" borderId="16" xfId="0" applyFont="1" applyBorder="1"/>
    <xf numFmtId="0" fontId="12" fillId="0" borderId="16" xfId="0" applyFont="1" applyBorder="1" applyAlignment="1">
      <alignment horizontal="center"/>
    </xf>
    <xf numFmtId="0" fontId="36" fillId="5" borderId="0" xfId="0" applyFont="1" applyFill="1"/>
    <xf numFmtId="0" fontId="31" fillId="5" borderId="17" xfId="0" applyFont="1" applyFill="1" applyBorder="1" applyAlignment="1">
      <alignment horizontal="left"/>
    </xf>
    <xf numFmtId="0" fontId="35" fillId="5" borderId="17" xfId="0" applyFont="1" applyFill="1" applyBorder="1"/>
    <xf numFmtId="0" fontId="37" fillId="5" borderId="28" xfId="0" applyFont="1" applyFill="1" applyBorder="1"/>
    <xf numFmtId="0" fontId="37" fillId="5" borderId="15" xfId="0" applyFont="1" applyFill="1" applyBorder="1"/>
    <xf numFmtId="0" fontId="38" fillId="5" borderId="15" xfId="0" applyFont="1" applyFill="1" applyBorder="1" applyAlignment="1">
      <alignment horizontal="center"/>
    </xf>
    <xf numFmtId="1" fontId="39" fillId="5" borderId="15" xfId="0" applyNumberFormat="1" applyFont="1" applyFill="1" applyBorder="1" applyAlignment="1">
      <alignment horizontal="center" vertical="center"/>
    </xf>
    <xf numFmtId="0" fontId="37" fillId="5" borderId="15" xfId="0" applyFont="1" applyFill="1" applyBorder="1" applyAlignment="1">
      <alignment horizontal="left"/>
    </xf>
    <xf numFmtId="0" fontId="37" fillId="0" borderId="15" xfId="0" applyFont="1" applyBorder="1"/>
    <xf numFmtId="0" fontId="37" fillId="0" borderId="15" xfId="0" applyFont="1" applyBorder="1" applyAlignment="1">
      <alignment horizontal="center"/>
    </xf>
    <xf numFmtId="0" fontId="37" fillId="5" borderId="32" xfId="0" applyFont="1" applyFill="1" applyBorder="1"/>
    <xf numFmtId="0" fontId="40" fillId="5" borderId="32" xfId="0" applyFont="1" applyFill="1" applyBorder="1"/>
    <xf numFmtId="0" fontId="40" fillId="10" borderId="30" xfId="0" applyFont="1" applyFill="1" applyBorder="1"/>
    <xf numFmtId="0" fontId="40" fillId="10" borderId="33" xfId="0" applyFont="1" applyFill="1" applyBorder="1"/>
    <xf numFmtId="0" fontId="40" fillId="10" borderId="16" xfId="0" applyFont="1" applyFill="1" applyBorder="1"/>
    <xf numFmtId="0" fontId="38" fillId="5" borderId="16" xfId="0" applyFont="1" applyFill="1" applyBorder="1" applyAlignment="1">
      <alignment horizontal="center"/>
    </xf>
    <xf numFmtId="1" fontId="39" fillId="5" borderId="16" xfId="0" applyNumberFormat="1" applyFont="1" applyFill="1" applyBorder="1" applyAlignment="1">
      <alignment horizontal="center" vertical="center"/>
    </xf>
    <xf numFmtId="0" fontId="40" fillId="5" borderId="16" xfId="0" applyFont="1" applyFill="1" applyBorder="1" applyAlignment="1">
      <alignment horizontal="left"/>
    </xf>
    <xf numFmtId="0" fontId="41" fillId="5" borderId="16" xfId="0" applyFont="1" applyFill="1" applyBorder="1"/>
    <xf numFmtId="0" fontId="37" fillId="0" borderId="16" xfId="0" applyFont="1" applyBorder="1"/>
    <xf numFmtId="0" fontId="37" fillId="0" borderId="16" xfId="0" applyFont="1" applyBorder="1" applyAlignment="1">
      <alignment horizontal="center"/>
    </xf>
    <xf numFmtId="0" fontId="20" fillId="5" borderId="2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3" fillId="5" borderId="2" xfId="0" applyFont="1" applyFill="1" applyBorder="1" applyAlignment="1">
      <alignment horizontal="center"/>
    </xf>
    <xf numFmtId="0" fontId="19" fillId="10" borderId="28" xfId="0" applyFont="1" applyFill="1" applyBorder="1" applyAlignment="1">
      <alignment horizontal="center"/>
    </xf>
    <xf numFmtId="0" fontId="2" fillId="10" borderId="1" xfId="0" applyFont="1" applyFill="1" applyBorder="1" applyAlignment="1">
      <alignment horizontal="center"/>
    </xf>
    <xf numFmtId="0" fontId="19" fillId="10" borderId="30" xfId="0" applyFont="1" applyFill="1" applyBorder="1"/>
    <xf numFmtId="0" fontId="20" fillId="10" borderId="2" xfId="0" applyFont="1" applyFill="1" applyBorder="1"/>
    <xf numFmtId="0" fontId="21" fillId="5" borderId="2" xfId="0" applyFont="1" applyFill="1" applyBorder="1" applyAlignment="1">
      <alignment horizontal="center"/>
    </xf>
    <xf numFmtId="1" fontId="19" fillId="5" borderId="2" xfId="0" applyNumberFormat="1" applyFont="1" applyFill="1" applyBorder="1" applyAlignment="1">
      <alignment horizontal="center" vertical="center"/>
    </xf>
    <xf numFmtId="0" fontId="22" fillId="5" borderId="2" xfId="0" applyFont="1" applyFill="1" applyBorder="1" applyAlignment="1">
      <alignment horizontal="left"/>
    </xf>
    <xf numFmtId="0" fontId="20" fillId="0" borderId="2" xfId="0" applyFont="1" applyBorder="1"/>
    <xf numFmtId="0" fontId="12" fillId="0" borderId="27" xfId="0" applyFont="1" applyBorder="1" applyAlignment="1">
      <alignment horizontal="center"/>
    </xf>
    <xf numFmtId="0" fontId="13" fillId="0" borderId="27" xfId="4" applyBorder="1" applyAlignment="1" applyProtection="1">
      <alignment horizontal="center"/>
    </xf>
    <xf numFmtId="0" fontId="13" fillId="5" borderId="2" xfId="4" applyFill="1" applyBorder="1"/>
    <xf numFmtId="0" fontId="31" fillId="5" borderId="19" xfId="0" applyFont="1" applyFill="1" applyBorder="1"/>
    <xf numFmtId="0" fontId="31" fillId="5" borderId="1" xfId="0" applyFont="1" applyFill="1" applyBorder="1"/>
    <xf numFmtId="0" fontId="37" fillId="5" borderId="1" xfId="0" applyFont="1" applyFill="1" applyBorder="1" applyAlignment="1">
      <alignment horizontal="center"/>
    </xf>
    <xf numFmtId="0" fontId="36" fillId="5" borderId="1" xfId="0" applyFont="1" applyFill="1" applyBorder="1"/>
    <xf numFmtId="0" fontId="34" fillId="5" borderId="1" xfId="0" applyFont="1" applyFill="1" applyBorder="1" applyAlignment="1">
      <alignment horizontal="center"/>
    </xf>
    <xf numFmtId="0" fontId="31" fillId="5" borderId="1" xfId="0" applyFont="1" applyFill="1" applyBorder="1" applyAlignment="1">
      <alignment horizontal="center"/>
    </xf>
    <xf numFmtId="0" fontId="35" fillId="5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18" fillId="5" borderId="1" xfId="0" applyFont="1" applyFill="1" applyBorder="1" applyAlignment="1">
      <alignment horizontal="left"/>
    </xf>
    <xf numFmtId="0" fontId="13" fillId="5" borderId="1" xfId="4" applyFill="1" applyBorder="1"/>
    <xf numFmtId="164" fontId="2" fillId="2" borderId="1" xfId="0" applyNumberFormat="1" applyFont="1" applyFill="1" applyBorder="1" applyAlignment="1">
      <alignment horizontal="center" vertical="center" wrapText="1"/>
    </xf>
    <xf numFmtId="0" fontId="19" fillId="10" borderId="2" xfId="0" applyFont="1" applyFill="1" applyBorder="1" applyAlignment="1">
      <alignment horizontal="center"/>
    </xf>
    <xf numFmtId="0" fontId="43" fillId="5" borderId="2" xfId="4" applyFont="1" applyFill="1" applyBorder="1" applyAlignment="1">
      <alignment horizontal="center"/>
    </xf>
    <xf numFmtId="0" fontId="24" fillId="11" borderId="33" xfId="0" applyFont="1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/>
    <xf numFmtId="165" fontId="0" fillId="5" borderId="1" xfId="0" applyNumberFormat="1" applyFill="1" applyBorder="1" applyAlignment="1">
      <alignment horizontal="center" vertical="center"/>
    </xf>
    <xf numFmtId="0" fontId="0" fillId="5" borderId="0" xfId="0" applyFill="1"/>
    <xf numFmtId="0" fontId="12" fillId="5" borderId="1" xfId="0" applyFont="1" applyFill="1" applyBorder="1"/>
    <xf numFmtId="0" fontId="12" fillId="5" borderId="1" xfId="0" applyFont="1" applyFill="1" applyBorder="1" applyAlignment="1">
      <alignment horizontal="center"/>
    </xf>
    <xf numFmtId="0" fontId="13" fillId="5" borderId="1" xfId="4" applyFill="1" applyBorder="1" applyAlignment="1" applyProtection="1">
      <alignment horizontal="center"/>
    </xf>
    <xf numFmtId="165" fontId="0" fillId="5" borderId="31" xfId="0" applyNumberFormat="1" applyFill="1" applyBorder="1" applyAlignment="1">
      <alignment horizontal="center" vertical="center"/>
    </xf>
    <xf numFmtId="0" fontId="9" fillId="6" borderId="0" xfId="0" applyFont="1" applyFill="1" applyAlignment="1">
      <alignment horizontal="center"/>
    </xf>
    <xf numFmtId="164" fontId="2" fillId="8" borderId="9" xfId="0" applyNumberFormat="1" applyFont="1" applyFill="1" applyBorder="1" applyAlignment="1">
      <alignment horizontal="center" vertical="center" wrapText="1"/>
    </xf>
    <xf numFmtId="164" fontId="2" fillId="8" borderId="10" xfId="0" applyNumberFormat="1" applyFont="1" applyFill="1" applyBorder="1" applyAlignment="1">
      <alignment horizontal="center" vertical="center" wrapText="1"/>
    </xf>
    <xf numFmtId="164" fontId="2" fillId="8" borderId="11" xfId="0" applyNumberFormat="1" applyFont="1" applyFill="1" applyBorder="1" applyAlignment="1">
      <alignment horizontal="center" vertical="center" wrapText="1"/>
    </xf>
    <xf numFmtId="164" fontId="2" fillId="8" borderId="12" xfId="0" applyNumberFormat="1" applyFont="1" applyFill="1" applyBorder="1" applyAlignment="1">
      <alignment horizontal="center" vertical="center" wrapText="1"/>
    </xf>
    <xf numFmtId="164" fontId="2" fillId="8" borderId="13" xfId="0" applyNumberFormat="1" applyFont="1" applyFill="1" applyBorder="1" applyAlignment="1">
      <alignment horizontal="center" vertical="center" wrapText="1"/>
    </xf>
    <xf numFmtId="164" fontId="2" fillId="8" borderId="14" xfId="0" applyNumberFormat="1" applyFont="1" applyFill="1" applyBorder="1" applyAlignment="1">
      <alignment horizontal="center" vertical="center" wrapText="1"/>
    </xf>
    <xf numFmtId="164" fontId="2" fillId="2" borderId="7" xfId="0" applyNumberFormat="1" applyFont="1" applyFill="1" applyBorder="1" applyAlignment="1">
      <alignment horizontal="center" vertical="center" wrapText="1"/>
    </xf>
    <xf numFmtId="164" fontId="2" fillId="2" borderId="8" xfId="0" applyNumberFormat="1" applyFont="1" applyFill="1" applyBorder="1" applyAlignment="1">
      <alignment horizontal="center" vertical="center" wrapText="1"/>
    </xf>
    <xf numFmtId="164" fontId="2" fillId="5" borderId="4" xfId="0" applyNumberFormat="1" applyFont="1" applyFill="1" applyBorder="1" applyAlignment="1">
      <alignment horizontal="center" vertical="center" wrapText="1"/>
    </xf>
    <xf numFmtId="164" fontId="2" fillId="5" borderId="6" xfId="0" applyNumberFormat="1" applyFont="1" applyFill="1" applyBorder="1" applyAlignment="1">
      <alignment horizontal="center" vertical="center" wrapText="1"/>
    </xf>
    <xf numFmtId="164" fontId="2" fillId="5" borderId="5" xfId="0" applyNumberFormat="1" applyFont="1" applyFill="1" applyBorder="1" applyAlignment="1">
      <alignment horizontal="center" vertical="center" wrapText="1"/>
    </xf>
    <xf numFmtId="164" fontId="2" fillId="9" borderId="4" xfId="0" applyNumberFormat="1" applyFont="1" applyFill="1" applyBorder="1" applyAlignment="1">
      <alignment horizontal="center" vertical="center" wrapText="1"/>
    </xf>
    <xf numFmtId="164" fontId="2" fillId="9" borderId="5" xfId="0" applyNumberFormat="1" applyFont="1" applyFill="1" applyBorder="1" applyAlignment="1">
      <alignment horizontal="center" vertical="center" wrapText="1"/>
    </xf>
    <xf numFmtId="164" fontId="2" fillId="7" borderId="4" xfId="0" applyNumberFormat="1" applyFont="1" applyFill="1" applyBorder="1" applyAlignment="1">
      <alignment horizontal="center" vertical="center" wrapText="1"/>
    </xf>
    <xf numFmtId="164" fontId="2" fillId="7" borderId="6" xfId="0" applyNumberFormat="1" applyFont="1" applyFill="1" applyBorder="1" applyAlignment="1">
      <alignment horizontal="center" vertical="center" wrapText="1"/>
    </xf>
    <xf numFmtId="164" fontId="2" fillId="7" borderId="5" xfId="0" applyNumberFormat="1" applyFont="1" applyFill="1" applyBorder="1" applyAlignment="1">
      <alignment horizontal="center" vertical="center" wrapText="1"/>
    </xf>
    <xf numFmtId="164" fontId="2" fillId="2" borderId="4" xfId="0" applyNumberFormat="1" applyFont="1" applyFill="1" applyBorder="1" applyAlignment="1">
      <alignment horizontal="center" vertical="center" wrapText="1"/>
    </xf>
    <xf numFmtId="164" fontId="2" fillId="2" borderId="5" xfId="0" applyNumberFormat="1" applyFont="1" applyFill="1" applyBorder="1" applyAlignment="1">
      <alignment horizontal="center" vertical="center" wrapText="1"/>
    </xf>
    <xf numFmtId="164" fontId="2" fillId="2" borderId="6" xfId="0" applyNumberFormat="1" applyFont="1" applyFill="1" applyBorder="1" applyAlignment="1">
      <alignment horizontal="center" vertical="center" wrapText="1"/>
    </xf>
    <xf numFmtId="0" fontId="44" fillId="5" borderId="1" xfId="4" applyFont="1" applyFill="1" applyBorder="1" applyAlignment="1" applyProtection="1"/>
  </cellXfs>
  <cellStyles count="5">
    <cellStyle name="Hipervínculo" xfId="4" builtinId="8"/>
    <cellStyle name="Hipervínculo 3" xfId="1" xr:uid="{00000000-0005-0000-0000-000000000000}"/>
    <cellStyle name="Normal" xfId="0" builtinId="0"/>
    <cellStyle name="Normal 3" xfId="3" xr:uid="{80993236-2F81-42DF-B97B-131A769A42FE}"/>
    <cellStyle name="Normal 4" xfId="2" xr:uid="{0D575094-7F6B-45C7-A617-589F0DA3AB27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Facisac10@" TargetMode="External"/><Relationship Id="rId13" Type="http://schemas.openxmlformats.org/officeDocument/2006/relationships/hyperlink" Target="mailto:Facisac10@" TargetMode="External"/><Relationship Id="rId18" Type="http://schemas.openxmlformats.org/officeDocument/2006/relationships/printerSettings" Target="../printerSettings/printerSettings1.bin"/><Relationship Id="rId3" Type="http://schemas.openxmlformats.org/officeDocument/2006/relationships/hyperlink" Target="mailto:Facisac10@" TargetMode="External"/><Relationship Id="rId7" Type="http://schemas.openxmlformats.org/officeDocument/2006/relationships/hyperlink" Target="mailto:Facisac10@" TargetMode="External"/><Relationship Id="rId12" Type="http://schemas.openxmlformats.org/officeDocument/2006/relationships/hyperlink" Target="mailto:Facisac10@" TargetMode="External"/><Relationship Id="rId17" Type="http://schemas.openxmlformats.org/officeDocument/2006/relationships/hyperlink" Target="mailto:Jshapi10@" TargetMode="External"/><Relationship Id="rId2" Type="http://schemas.openxmlformats.org/officeDocument/2006/relationships/hyperlink" Target="mailto:Admin123@" TargetMode="External"/><Relationship Id="rId16" Type="http://schemas.openxmlformats.org/officeDocument/2006/relationships/hyperlink" Target="mailto:Marilin10@" TargetMode="External"/><Relationship Id="rId1" Type="http://schemas.openxmlformats.org/officeDocument/2006/relationships/hyperlink" Target="mailto:Misael123@" TargetMode="External"/><Relationship Id="rId6" Type="http://schemas.openxmlformats.org/officeDocument/2006/relationships/hyperlink" Target="mailto:Facisac10@" TargetMode="External"/><Relationship Id="rId11" Type="http://schemas.openxmlformats.org/officeDocument/2006/relationships/hyperlink" Target="mailto:Facisac10@" TargetMode="External"/><Relationship Id="rId5" Type="http://schemas.openxmlformats.org/officeDocument/2006/relationships/hyperlink" Target="mailto:Facisac10@" TargetMode="External"/><Relationship Id="rId15" Type="http://schemas.openxmlformats.org/officeDocument/2006/relationships/hyperlink" Target="mailto:Facisac10@" TargetMode="External"/><Relationship Id="rId10" Type="http://schemas.openxmlformats.org/officeDocument/2006/relationships/hyperlink" Target="mailto:Facisac10@" TargetMode="External"/><Relationship Id="rId4" Type="http://schemas.openxmlformats.org/officeDocument/2006/relationships/hyperlink" Target="mailto:Facisac10@" TargetMode="External"/><Relationship Id="rId9" Type="http://schemas.openxmlformats.org/officeDocument/2006/relationships/hyperlink" Target="mailto:Facisac10@" TargetMode="External"/><Relationship Id="rId14" Type="http://schemas.openxmlformats.org/officeDocument/2006/relationships/hyperlink" Target="mailto:Facisac10@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lin10@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U84"/>
  <sheetViews>
    <sheetView showGridLines="0" tabSelected="1" topLeftCell="B39" zoomScale="175" zoomScaleNormal="175" workbookViewId="0">
      <selection activeCell="G42" sqref="G42"/>
    </sheetView>
  </sheetViews>
  <sheetFormatPr baseColWidth="10" defaultRowHeight="14.4" x14ac:dyDescent="0.3"/>
  <cols>
    <col min="1" max="1" width="3.77734375" style="114" customWidth="1"/>
    <col min="2" max="2" width="37.88671875" customWidth="1"/>
    <col min="3" max="3" width="16" customWidth="1"/>
    <col min="4" max="4" width="20" customWidth="1"/>
    <col min="5" max="5" width="8.109375" customWidth="1"/>
    <col min="6" max="6" width="16.6640625" customWidth="1"/>
    <col min="7" max="7" width="14.33203125" customWidth="1"/>
    <col min="8" max="8" width="17.44140625" hidden="1" customWidth="1"/>
    <col min="9" max="9" width="11" customWidth="1"/>
    <col min="10" max="10" width="14.109375" customWidth="1"/>
    <col min="11" max="11" width="16.33203125" customWidth="1"/>
    <col min="12" max="12" width="31.77734375" customWidth="1"/>
    <col min="13" max="13" width="23" customWidth="1"/>
    <col min="14" max="14" width="12.21875" customWidth="1"/>
    <col min="21" max="21" width="13" customWidth="1"/>
  </cols>
  <sheetData>
    <row r="1" spans="1:14" ht="25.8" x14ac:dyDescent="0.5">
      <c r="B1" s="249" t="s">
        <v>115</v>
      </c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</row>
    <row r="3" spans="1:14" s="13" customFormat="1" ht="18" x14ac:dyDescent="0.35">
      <c r="A3" s="115"/>
      <c r="B3" s="12" t="s">
        <v>10</v>
      </c>
      <c r="C3" s="20">
        <v>46174</v>
      </c>
      <c r="D3" s="13" t="s">
        <v>24</v>
      </c>
      <c r="E3" s="14"/>
    </row>
    <row r="4" spans="1:14" s="13" customFormat="1" ht="18" x14ac:dyDescent="0.35">
      <c r="A4" s="115"/>
      <c r="B4" s="15"/>
      <c r="C4"/>
      <c r="E4" s="14"/>
    </row>
    <row r="5" spans="1:14" x14ac:dyDescent="0.3">
      <c r="B5" s="16" t="s">
        <v>26</v>
      </c>
    </row>
    <row r="6" spans="1:14" ht="15" customHeight="1" x14ac:dyDescent="0.3">
      <c r="B6" s="250" t="s">
        <v>15</v>
      </c>
      <c r="C6" s="251"/>
      <c r="D6" s="251"/>
      <c r="E6" s="252"/>
      <c r="F6" s="258" t="s">
        <v>13</v>
      </c>
      <c r="G6" s="259"/>
      <c r="H6" s="259"/>
      <c r="I6" s="259"/>
      <c r="J6" s="260"/>
      <c r="K6" s="258" t="s">
        <v>14</v>
      </c>
      <c r="L6" s="259"/>
      <c r="M6" s="260"/>
    </row>
    <row r="7" spans="1:14" ht="21.15" customHeight="1" x14ac:dyDescent="0.3">
      <c r="B7" s="253"/>
      <c r="C7" s="254"/>
      <c r="D7" s="254"/>
      <c r="E7" s="255"/>
      <c r="F7" s="263" t="s">
        <v>2</v>
      </c>
      <c r="G7" s="264"/>
      <c r="H7" s="265"/>
      <c r="I7" s="261" t="s">
        <v>1</v>
      </c>
      <c r="J7" s="262"/>
      <c r="K7" s="256" t="s">
        <v>27</v>
      </c>
      <c r="L7" s="19" t="s">
        <v>30</v>
      </c>
      <c r="M7" s="256" t="s">
        <v>12</v>
      </c>
    </row>
    <row r="8" spans="1:14" ht="32.25" customHeight="1" thickBot="1" x14ac:dyDescent="0.35">
      <c r="A8" s="121" t="s">
        <v>244</v>
      </c>
      <c r="B8" s="21" t="s">
        <v>17</v>
      </c>
      <c r="C8" s="7" t="s">
        <v>0</v>
      </c>
      <c r="D8" s="7" t="s">
        <v>18</v>
      </c>
      <c r="E8" s="7" t="s">
        <v>19</v>
      </c>
      <c r="F8" s="17" t="s">
        <v>20</v>
      </c>
      <c r="G8" s="17" t="s">
        <v>21</v>
      </c>
      <c r="H8" s="17" t="s">
        <v>22</v>
      </c>
      <c r="I8" s="18" t="s">
        <v>20</v>
      </c>
      <c r="J8" s="18" t="s">
        <v>21</v>
      </c>
      <c r="K8" s="257"/>
      <c r="L8" s="7" t="s">
        <v>4</v>
      </c>
      <c r="M8" s="257"/>
    </row>
    <row r="9" spans="1:14" ht="15" thickBot="1" x14ac:dyDescent="0.35">
      <c r="A9" s="5">
        <v>1</v>
      </c>
      <c r="B9" s="116" t="s">
        <v>116</v>
      </c>
      <c r="C9" s="23">
        <v>20602118640</v>
      </c>
      <c r="D9" s="24" t="s">
        <v>25</v>
      </c>
      <c r="E9" s="25" t="str">
        <f>RIGHT(C9,1)</f>
        <v>0</v>
      </c>
      <c r="F9" s="26" t="s">
        <v>117</v>
      </c>
      <c r="G9" s="27" t="s">
        <v>118</v>
      </c>
      <c r="H9" s="28" t="s">
        <v>28</v>
      </c>
      <c r="I9" s="29" t="s">
        <v>3</v>
      </c>
      <c r="J9" s="30" t="s">
        <v>119</v>
      </c>
      <c r="K9" s="11">
        <f>IF(I9&lt;&gt;"",(VLOOKUP($C$3,'CRONOGRAMAS 2026'!$L$3:$M$14,2,FALSE)),"")</f>
        <v>46210</v>
      </c>
      <c r="L9" s="11" t="str">
        <f>IFERROR(VLOOKUP(CONCATENATE("2026",TEXT(MONTH($C$3),"00"),"-",$E9),'CRONOGRAMAS 2026'!F:I,4,FALSE),"")</f>
        <v>14/07/2026</v>
      </c>
      <c r="M9" s="11">
        <f>+(IFERROR(VLOOKUP(CONCATENATE("2026",TEXT(MONTH($C$3),"00"),"-", $E9),'CRONOGRAMAS 2026'!A:D,4,FALSE),""))</f>
        <v>46218</v>
      </c>
      <c r="N9">
        <v>1000</v>
      </c>
    </row>
    <row r="10" spans="1:14" x14ac:dyDescent="0.3">
      <c r="A10" s="5">
        <f>A9+1</f>
        <v>2</v>
      </c>
      <c r="B10" s="117" t="s">
        <v>120</v>
      </c>
      <c r="C10" s="32">
        <v>10481217020</v>
      </c>
      <c r="D10" s="33" t="s">
        <v>16</v>
      </c>
      <c r="E10" s="34" t="str">
        <f>RIGHT(10,1)</f>
        <v>0</v>
      </c>
      <c r="F10" s="35" t="s">
        <v>121</v>
      </c>
      <c r="G10" s="36" t="s">
        <v>122</v>
      </c>
      <c r="H10" s="37"/>
      <c r="I10" s="38"/>
      <c r="J10" s="38"/>
      <c r="K10" s="11" t="str">
        <f>IF(I10&lt;&gt;"",(VLOOKUP($C$3,'CRONOGRAMAS 2026'!$L$3:$M$14,2,FALSE)),"")</f>
        <v/>
      </c>
      <c r="L10" s="11" t="str">
        <f>IFERROR(VLOOKUP(CONCATENATE("2026",TEXT(MONTH($C$3),"00"),"-",$E10),'CRONOGRAMAS 2026'!F:I,4,FALSE),"")</f>
        <v>14/07/2026</v>
      </c>
      <c r="M10" s="11">
        <f>+(IFERROR(VLOOKUP(CONCATENATE("2026",TEXT(MONTH($C$3),"00"),"-", $E10),'CRONOGRAMAS 2026'!A:D,4,FALSE),""))</f>
        <v>46218</v>
      </c>
      <c r="N10">
        <v>150</v>
      </c>
    </row>
    <row r="11" spans="1:14" x14ac:dyDescent="0.3">
      <c r="A11" s="5">
        <f t="shared" ref="A11:A61" si="0">A10+1</f>
        <v>3</v>
      </c>
      <c r="B11" s="77" t="s">
        <v>123</v>
      </c>
      <c r="C11" s="39">
        <v>20404383940</v>
      </c>
      <c r="D11" s="33" t="s">
        <v>25</v>
      </c>
      <c r="E11" s="34" t="str">
        <f t="shared" ref="E11:E13" si="1">RIGHT(10,1)</f>
        <v>0</v>
      </c>
      <c r="F11" s="35" t="s">
        <v>124</v>
      </c>
      <c r="G11" s="36" t="s">
        <v>125</v>
      </c>
      <c r="H11" s="37"/>
      <c r="I11" s="38"/>
      <c r="J11" s="38"/>
      <c r="K11" s="11" t="str">
        <f>IF(I11&lt;&gt;"",(VLOOKUP($C$3,'CRONOGRAMAS 2026'!$L$3:$M$14,2,FALSE)),"")</f>
        <v/>
      </c>
      <c r="L11" s="11" t="str">
        <f>IFERROR(VLOOKUP(CONCATENATE("2026",TEXT(MONTH($C$3),"00"),"-",$E11),'CRONOGRAMAS 2026'!F:I,4,FALSE),"")</f>
        <v>14/07/2026</v>
      </c>
      <c r="M11" s="11">
        <f>+(IFERROR(VLOOKUP(CONCATENATE("2026",TEXT(MONTH($C$3),"00"),"-", $E11),'CRONOGRAMAS 2026'!A:D,4,FALSE),""))</f>
        <v>46218</v>
      </c>
      <c r="N11">
        <v>150</v>
      </c>
    </row>
    <row r="12" spans="1:14" x14ac:dyDescent="0.3">
      <c r="A12" s="5">
        <f t="shared" si="0"/>
        <v>4</v>
      </c>
      <c r="B12" s="76" t="s">
        <v>126</v>
      </c>
      <c r="C12" s="32">
        <v>10176383360</v>
      </c>
      <c r="D12" s="33" t="s">
        <v>16</v>
      </c>
      <c r="E12" s="34" t="str">
        <f t="shared" si="1"/>
        <v>0</v>
      </c>
      <c r="F12" s="35" t="s">
        <v>127</v>
      </c>
      <c r="G12" s="36" t="s">
        <v>128</v>
      </c>
      <c r="H12" s="37"/>
      <c r="I12" s="38"/>
      <c r="J12" s="38"/>
      <c r="K12" s="11" t="str">
        <f>IF(I12&lt;&gt;"",(VLOOKUP($C$3,'CRONOGRAMAS 2026'!$L$3:$M$14,2,FALSE)),"")</f>
        <v/>
      </c>
      <c r="L12" s="11" t="str">
        <f>IFERROR(VLOOKUP(CONCATENATE("2026",TEXT(MONTH($C$3),"00"),"-",$E12),'CRONOGRAMAS 2026'!F:I,4,FALSE),"")</f>
        <v>14/07/2026</v>
      </c>
      <c r="M12" s="11">
        <f>+(IFERROR(VLOOKUP(CONCATENATE("2026",TEXT(MONTH($C$3),"00"),"-", $E12),'CRONOGRAMAS 2026'!A:D,4,FALSE),""))</f>
        <v>46218</v>
      </c>
      <c r="N12">
        <v>80</v>
      </c>
    </row>
    <row r="13" spans="1:14" ht="15" thickBot="1" x14ac:dyDescent="0.35">
      <c r="A13" s="5">
        <f t="shared" si="0"/>
        <v>5</v>
      </c>
      <c r="B13" s="79" t="s">
        <v>129</v>
      </c>
      <c r="C13" s="40">
        <v>10009669910</v>
      </c>
      <c r="D13" s="41" t="s">
        <v>16</v>
      </c>
      <c r="E13" s="42" t="str">
        <f t="shared" si="1"/>
        <v>0</v>
      </c>
      <c r="F13" s="43" t="s">
        <v>130</v>
      </c>
      <c r="G13" s="44" t="s">
        <v>131</v>
      </c>
      <c r="H13" s="45"/>
      <c r="I13" s="46" t="s">
        <v>3</v>
      </c>
      <c r="J13" s="31" t="s">
        <v>119</v>
      </c>
      <c r="K13" s="132">
        <f>IF(I13&lt;&gt;"",(VLOOKUP($C$3,'CRONOGRAMAS 2026'!$L$3:$M$14,2,FALSE)),"")</f>
        <v>46210</v>
      </c>
      <c r="L13" s="132" t="str">
        <f>IFERROR(VLOOKUP(CONCATENATE("2026",TEXT(MONTH($C$3),"00"),"-",$E13),'CRONOGRAMAS 2026'!F:I,4,FALSE),"")</f>
        <v>14/07/2026</v>
      </c>
      <c r="M13" s="132">
        <f>+(IFERROR(VLOOKUP(CONCATENATE("2026",TEXT(MONTH($C$3),"00"),"-", $E13),'CRONOGRAMAS 2026'!A:D,4,FALSE),""))</f>
        <v>46218</v>
      </c>
      <c r="N13">
        <v>130</v>
      </c>
    </row>
    <row r="14" spans="1:14" ht="15" thickBot="1" x14ac:dyDescent="0.35">
      <c r="A14" s="5">
        <f t="shared" si="0"/>
        <v>6</v>
      </c>
      <c r="B14" s="141" t="s">
        <v>132</v>
      </c>
      <c r="C14" s="142">
        <v>20613779401</v>
      </c>
      <c r="D14" s="143" t="s">
        <v>25</v>
      </c>
      <c r="E14" s="144">
        <v>1</v>
      </c>
      <c r="F14" s="145" t="s">
        <v>133</v>
      </c>
      <c r="G14" s="146" t="s">
        <v>134</v>
      </c>
      <c r="H14" s="147"/>
      <c r="I14" s="148" t="s">
        <v>3</v>
      </c>
      <c r="J14" s="149" t="s">
        <v>119</v>
      </c>
      <c r="K14" s="150">
        <f>IF(I14&lt;&gt;"",(VLOOKUP($C$3,'CRONOGRAMAS 2026'!$L$3:$M$14,2,FALSE)),"")</f>
        <v>46210</v>
      </c>
      <c r="L14" s="150" t="str">
        <f>IFERROR(VLOOKUP(CONCATENATE("2026",TEXT(MONTH($C$3),"00"),"-",$E14),'CRONOGRAMAS 2026'!F:I,4,FALSE),"")</f>
        <v>15/07/2026</v>
      </c>
      <c r="M14" s="151">
        <f>+(IFERROR(VLOOKUP(CONCATENATE("2026",TEXT(MONTH($C$3),"00"),"-", $E14),'CRONOGRAMAS 2026'!A:D,4,FALSE),""))</f>
        <v>46219</v>
      </c>
      <c r="N14">
        <v>1000</v>
      </c>
    </row>
    <row r="15" spans="1:14" x14ac:dyDescent="0.3">
      <c r="A15" s="5">
        <f t="shared" si="0"/>
        <v>7</v>
      </c>
      <c r="B15" s="218" t="s">
        <v>266</v>
      </c>
      <c r="C15" s="219">
        <v>20615649491</v>
      </c>
      <c r="D15" s="220" t="s">
        <v>16</v>
      </c>
      <c r="E15" s="221">
        <v>1</v>
      </c>
      <c r="F15" s="222">
        <v>43373741</v>
      </c>
      <c r="G15" s="226" t="s">
        <v>267</v>
      </c>
      <c r="H15" s="223"/>
      <c r="I15" s="224"/>
      <c r="J15" s="225"/>
      <c r="K15" s="140"/>
      <c r="L15" s="150" t="str">
        <f>IFERROR(VLOOKUP(CONCATENATE("2026",TEXT(MONTH($C$3),"00"),"-",$E15),'CRONOGRAMAS 2026'!F:I,4,FALSE),"")</f>
        <v>15/07/2026</v>
      </c>
      <c r="M15" s="151">
        <f>+(IFERROR(VLOOKUP(CONCATENATE("2026",TEXT(MONTH($C$3),"00"),"-", $E15),'CRONOGRAMAS 2026'!A:D,4,FALSE),""))</f>
        <v>46219</v>
      </c>
      <c r="N15">
        <v>200</v>
      </c>
    </row>
    <row r="16" spans="1:14" x14ac:dyDescent="0.3">
      <c r="A16" s="5">
        <f t="shared" si="0"/>
        <v>8</v>
      </c>
      <c r="B16" s="152" t="s">
        <v>135</v>
      </c>
      <c r="C16" s="47">
        <v>10463867041</v>
      </c>
      <c r="D16" s="48" t="s">
        <v>16</v>
      </c>
      <c r="E16" s="49" t="str">
        <f t="shared" ref="E16" si="2">RIGHT(C16,1)</f>
        <v>1</v>
      </c>
      <c r="F16" s="50" t="s">
        <v>136</v>
      </c>
      <c r="G16" s="51">
        <v>46386704</v>
      </c>
      <c r="H16" s="52"/>
      <c r="I16" s="53"/>
      <c r="J16" s="53"/>
      <c r="K16" s="11" t="str">
        <f>IF(I16&lt;&gt;"",(VLOOKUP($C$3,'CRONOGRAMAS 2026'!$L$3:$M$14,2,FALSE)),"")</f>
        <v/>
      </c>
      <c r="L16" s="11" t="str">
        <f>IFERROR(VLOOKUP(CONCATENATE("2026",TEXT(MONTH($C$3),"00"),"-",$E16),'CRONOGRAMAS 2026'!F:I,4,FALSE),"")</f>
        <v>15/07/2026</v>
      </c>
      <c r="M16" s="153">
        <f>+(IFERROR(VLOOKUP(CONCATENATE("2026",TEXT(MONTH($C$3),"00"),"-", $E16),'CRONOGRAMAS 2026'!A:D,4,FALSE),""))</f>
        <v>46219</v>
      </c>
      <c r="N16">
        <v>70</v>
      </c>
    </row>
    <row r="17" spans="1:14" x14ac:dyDescent="0.3">
      <c r="A17" s="5">
        <f t="shared" si="0"/>
        <v>9</v>
      </c>
      <c r="B17" s="154" t="s">
        <v>137</v>
      </c>
      <c r="C17" s="54">
        <v>10407286991</v>
      </c>
      <c r="D17" s="55" t="s">
        <v>16</v>
      </c>
      <c r="E17" s="56" t="str">
        <f>RIGHT(C17,1)</f>
        <v>1</v>
      </c>
      <c r="F17" s="57" t="s">
        <v>138</v>
      </c>
      <c r="G17" s="58" t="s">
        <v>139</v>
      </c>
      <c r="H17" s="59"/>
      <c r="I17" s="53"/>
      <c r="J17" s="53"/>
      <c r="K17" s="11" t="str">
        <f>IF(I17&lt;&gt;"",(VLOOKUP($C$3,'CRONOGRAMAS 2026'!$L$3:$M$14,2,FALSE)),"")</f>
        <v/>
      </c>
      <c r="L17" s="11" t="str">
        <f>IFERROR(VLOOKUP(CONCATENATE("2026",TEXT(MONTH($C$3),"00"),"-",$E17),'CRONOGRAMAS 2026'!F:I,4,FALSE),"")</f>
        <v>15/07/2026</v>
      </c>
      <c r="M17" s="153">
        <f>+(IFERROR(VLOOKUP(CONCATENATE("2026",TEXT(MONTH($C$3),"00"),"-", $E17),'CRONOGRAMAS 2026'!A:D,4,FALSE),""))</f>
        <v>46219</v>
      </c>
      <c r="N17">
        <v>0</v>
      </c>
    </row>
    <row r="18" spans="1:14" x14ac:dyDescent="0.3">
      <c r="A18" s="5">
        <f t="shared" si="0"/>
        <v>10</v>
      </c>
      <c r="B18" s="155" t="s">
        <v>140</v>
      </c>
      <c r="C18" s="60">
        <v>10433737411</v>
      </c>
      <c r="D18" s="55" t="s">
        <v>16</v>
      </c>
      <c r="E18" s="56" t="str">
        <f t="shared" ref="E18:E61" si="3">RIGHT(C18,1)</f>
        <v>1</v>
      </c>
      <c r="F18" s="57">
        <v>43373741</v>
      </c>
      <c r="G18" s="58" t="s">
        <v>141</v>
      </c>
      <c r="H18" s="59"/>
      <c r="I18" s="53" t="s">
        <v>3</v>
      </c>
      <c r="J18" s="61" t="s">
        <v>119</v>
      </c>
      <c r="K18" s="11">
        <f>IF(I18&lt;&gt;"",(VLOOKUP($C$3,'CRONOGRAMAS 2026'!$L$3:$M$14,2,FALSE)),"")</f>
        <v>46210</v>
      </c>
      <c r="L18" s="11" t="str">
        <f>IFERROR(VLOOKUP(CONCATENATE("2026",TEXT(MONTH($C$3),"00"),"-",$E18),'CRONOGRAMAS 2026'!F:I,4,FALSE),"")</f>
        <v>15/07/2026</v>
      </c>
      <c r="M18" s="153">
        <f>+(IFERROR(VLOOKUP(CONCATENATE("2026",TEXT(MONTH($C$3),"00"),"-", $E18),'CRONOGRAMAS 2026'!A:D,4,FALSE),""))</f>
        <v>46219</v>
      </c>
      <c r="N18">
        <v>0</v>
      </c>
    </row>
    <row r="19" spans="1:14" ht="15" thickBot="1" x14ac:dyDescent="0.35">
      <c r="A19" s="131">
        <f t="shared" si="0"/>
        <v>11</v>
      </c>
      <c r="B19" s="240" t="s">
        <v>142</v>
      </c>
      <c r="C19" s="156">
        <v>10165393801</v>
      </c>
      <c r="D19" s="157" t="s">
        <v>16</v>
      </c>
      <c r="E19" s="158" t="str">
        <f t="shared" si="3"/>
        <v>1</v>
      </c>
      <c r="F19" s="62" t="s">
        <v>143</v>
      </c>
      <c r="G19" s="159" t="s">
        <v>144</v>
      </c>
      <c r="H19" s="160"/>
      <c r="I19" s="161"/>
      <c r="J19" s="161"/>
      <c r="K19" s="162" t="str">
        <f>IF(I19&lt;&gt;"",(VLOOKUP($C$3,'CRONOGRAMAS 2026'!$L$3:$M$14,2,FALSE)),"")</f>
        <v/>
      </c>
      <c r="L19" s="162" t="str">
        <f>IFERROR(VLOOKUP(CONCATENATE("2026",TEXT(MONTH($C$3),"00"),"-",$E19),'CRONOGRAMAS 2026'!F:I,4,FALSE),"")</f>
        <v>15/07/2026</v>
      </c>
      <c r="M19" s="163">
        <f>+(IFERROR(VLOOKUP(CONCATENATE("2026",TEXT(MONTH($C$3),"00"),"-", $E19),'CRONOGRAMAS 2026'!A:D,4,FALSE),""))</f>
        <v>46219</v>
      </c>
      <c r="N19">
        <v>0</v>
      </c>
    </row>
    <row r="20" spans="1:14" x14ac:dyDescent="0.3">
      <c r="A20" s="5">
        <f t="shared" si="0"/>
        <v>12</v>
      </c>
      <c r="B20" s="133" t="s">
        <v>145</v>
      </c>
      <c r="C20" s="134">
        <v>10707887112</v>
      </c>
      <c r="D20" s="135" t="s">
        <v>16</v>
      </c>
      <c r="E20" s="136" t="str">
        <f t="shared" si="3"/>
        <v>2</v>
      </c>
      <c r="F20" s="63">
        <v>70788711</v>
      </c>
      <c r="G20" s="137" t="s">
        <v>146</v>
      </c>
      <c r="H20" s="138"/>
      <c r="I20" s="139"/>
      <c r="J20" s="139"/>
      <c r="K20" s="140" t="str">
        <f>IF(I20&lt;&gt;"",(VLOOKUP($C$3,'CRONOGRAMAS 2026'!$L$3:$M$14,2,FALSE)),"")</f>
        <v/>
      </c>
      <c r="L20" s="140" t="str">
        <f>IFERROR(VLOOKUP(CONCATENATE("2026",TEXT(MONTH($C$3),"00"),"-",$E20),'CRONOGRAMAS 2026'!F:I,4,FALSE),"")</f>
        <v>16/07/2026</v>
      </c>
      <c r="M20" s="140">
        <f>+(IFERROR(VLOOKUP(CONCATENATE("2026",TEXT(MONTH($C$3),"00"),"-", $E20),'CRONOGRAMAS 2026'!A:D,4,FALSE),""))</f>
        <v>46220</v>
      </c>
      <c r="N20">
        <v>80</v>
      </c>
    </row>
    <row r="21" spans="1:14" x14ac:dyDescent="0.3">
      <c r="A21" s="5">
        <f t="shared" si="0"/>
        <v>13</v>
      </c>
      <c r="B21" s="118" t="s">
        <v>147</v>
      </c>
      <c r="C21" s="64">
        <v>10416731662</v>
      </c>
      <c r="D21" s="65" t="s">
        <v>16</v>
      </c>
      <c r="E21" s="66" t="str">
        <f t="shared" si="3"/>
        <v>2</v>
      </c>
      <c r="F21" s="74" t="s">
        <v>148</v>
      </c>
      <c r="G21" s="73" t="s">
        <v>149</v>
      </c>
      <c r="H21" s="1"/>
      <c r="I21" s="5"/>
      <c r="J21" s="5"/>
      <c r="K21" s="11" t="str">
        <f>IF(I21&lt;&gt;"",(VLOOKUP($C$3,'CRONOGRAMAS 2026'!$L$3:$M$14,2,FALSE)),"")</f>
        <v/>
      </c>
      <c r="L21" s="11" t="str">
        <f>IFERROR(VLOOKUP(CONCATENATE("2026",TEXT(MONTH($C$3),"00"),"-",$E21),'CRONOGRAMAS 2026'!F:I,4,FALSE),"")</f>
        <v>16/07/2026</v>
      </c>
      <c r="M21" s="11">
        <f>+(IFERROR(VLOOKUP(CONCATENATE("2026",TEXT(MONTH($C$3),"00"),"-", $E21),'CRONOGRAMAS 2026'!A:D,4,FALSE),""))</f>
        <v>46220</v>
      </c>
      <c r="N21">
        <v>0</v>
      </c>
    </row>
    <row r="22" spans="1:14" x14ac:dyDescent="0.3">
      <c r="A22" s="5">
        <f t="shared" si="0"/>
        <v>14</v>
      </c>
      <c r="B22" s="119" t="s">
        <v>150</v>
      </c>
      <c r="C22" s="69">
        <v>10009917182</v>
      </c>
      <c r="D22" s="65" t="s">
        <v>16</v>
      </c>
      <c r="E22" s="66" t="str">
        <f t="shared" si="3"/>
        <v>2</v>
      </c>
      <c r="F22" s="70" t="s">
        <v>151</v>
      </c>
      <c r="G22" s="71" t="s">
        <v>152</v>
      </c>
      <c r="H22" s="1"/>
      <c r="I22" s="5"/>
      <c r="J22" s="5"/>
      <c r="K22" s="11" t="str">
        <f>IF(I22&lt;&gt;"",(VLOOKUP($C$3,'CRONOGRAMAS 2026'!$L$3:$M$14,2,FALSE)),"")</f>
        <v/>
      </c>
      <c r="L22" s="11" t="str">
        <f>IFERROR(VLOOKUP(CONCATENATE("2026",TEXT(MONTH($C$3),"00"),"-",$E22),'CRONOGRAMAS 2026'!F:I,4,FALSE),"")</f>
        <v>16/07/2026</v>
      </c>
      <c r="M22" s="11">
        <f>+(IFERROR(VLOOKUP(CONCATENATE("2026",TEXT(MONTH($C$3),"00"),"-", $E22),'CRONOGRAMAS 2026'!A:D,4,FALSE),""))</f>
        <v>46220</v>
      </c>
      <c r="N22">
        <v>100</v>
      </c>
    </row>
    <row r="23" spans="1:14" x14ac:dyDescent="0.3">
      <c r="A23" s="5">
        <f t="shared" si="0"/>
        <v>15</v>
      </c>
      <c r="B23" s="119" t="s">
        <v>153</v>
      </c>
      <c r="C23" s="69">
        <v>10009686652</v>
      </c>
      <c r="D23" s="65" t="s">
        <v>16</v>
      </c>
      <c r="E23" s="66" t="str">
        <f t="shared" si="3"/>
        <v>2</v>
      </c>
      <c r="F23" s="72" t="s">
        <v>154</v>
      </c>
      <c r="G23" s="73" t="s">
        <v>155</v>
      </c>
      <c r="H23" s="1"/>
      <c r="I23" s="5"/>
      <c r="J23" s="5"/>
      <c r="K23" s="11" t="str">
        <f>IF(I23&lt;&gt;"",(VLOOKUP($C$3,'CRONOGRAMAS 2026'!$L$3:$M$14,2,FALSE)),"")</f>
        <v/>
      </c>
      <c r="L23" s="11" t="str">
        <f>IFERROR(VLOOKUP(CONCATENATE("2026",TEXT(MONTH($C$3),"00"),"-",$E23),'CRONOGRAMAS 2026'!F:I,4,FALSE),"")</f>
        <v>16/07/2026</v>
      </c>
      <c r="M23" s="11">
        <f>+(IFERROR(VLOOKUP(CONCATENATE("2026",TEXT(MONTH($C$3),"00"),"-", $E23),'CRONOGRAMAS 2026'!A:D,4,FALSE),""))</f>
        <v>46220</v>
      </c>
      <c r="N23">
        <v>100</v>
      </c>
    </row>
    <row r="24" spans="1:14" s="244" customFormat="1" x14ac:dyDescent="0.3">
      <c r="A24" s="5">
        <f t="shared" si="0"/>
        <v>16</v>
      </c>
      <c r="B24" s="118" t="s">
        <v>275</v>
      </c>
      <c r="C24" s="64">
        <v>10422572932</v>
      </c>
      <c r="D24" s="65" t="s">
        <v>16</v>
      </c>
      <c r="E24" s="66">
        <v>2</v>
      </c>
      <c r="F24" s="72" t="s">
        <v>276</v>
      </c>
      <c r="G24" s="73" t="s">
        <v>277</v>
      </c>
      <c r="H24" s="242"/>
      <c r="I24" s="241"/>
      <c r="J24" s="241"/>
      <c r="K24" s="11" t="str">
        <f>IF(I24&lt;&gt;"",(VLOOKUP($C$3,'CRONOGRAMAS 2026'!$L$3:$M$14,2,FALSE)),"")</f>
        <v/>
      </c>
      <c r="L24" s="11" t="str">
        <f>IFERROR(VLOOKUP(CONCATENATE("2026",TEXT(MONTH($C$3),"00"),"-",$E24),'CRONOGRAMAS 2026'!F:I,4,FALSE),"")</f>
        <v>16/07/2026</v>
      </c>
      <c r="M24" s="11">
        <f>+(IFERROR(VLOOKUP(CONCATENATE("2026",TEXT(MONTH($C$3),"00"),"-", $E24),'CRONOGRAMAS 2026'!A:D,4,FALSE),""))</f>
        <v>46220</v>
      </c>
    </row>
    <row r="25" spans="1:14" s="244" customFormat="1" x14ac:dyDescent="0.3">
      <c r="A25" s="5">
        <f t="shared" si="0"/>
        <v>17</v>
      </c>
      <c r="B25" s="118" t="s">
        <v>271</v>
      </c>
      <c r="C25" s="64">
        <v>20615986632</v>
      </c>
      <c r="D25" s="65" t="s">
        <v>16</v>
      </c>
      <c r="E25" s="66">
        <v>2</v>
      </c>
      <c r="F25" s="72" t="s">
        <v>272</v>
      </c>
      <c r="G25" s="236" t="s">
        <v>273</v>
      </c>
      <c r="H25" s="242"/>
      <c r="I25" s="241"/>
      <c r="J25" s="241"/>
      <c r="K25" s="11" t="str">
        <f>IF(I25&lt;&gt;"",(VLOOKUP($C$3,'CRONOGRAMAS 2026'!$L$3:$M$14,2,FALSE)),"")</f>
        <v/>
      </c>
      <c r="L25" s="11" t="str">
        <f>IFERROR(VLOOKUP(CONCATENATE("2026",TEXT(MONTH($C$3),"00"),"-",$E25),'CRONOGRAMAS 2026'!F:I,4,FALSE),"")</f>
        <v>16/07/2026</v>
      </c>
      <c r="M25" s="11">
        <f>+(IFERROR(VLOOKUP(CONCATENATE("2026",TEXT(MONTH($C$3),"00"),"-", $E25),'CRONOGRAMAS 2026'!A:D,4,FALSE),""))</f>
        <v>46220</v>
      </c>
      <c r="N25" s="244">
        <v>0</v>
      </c>
    </row>
    <row r="26" spans="1:14" x14ac:dyDescent="0.3">
      <c r="A26" s="5">
        <f t="shared" si="0"/>
        <v>18</v>
      </c>
      <c r="B26" s="119" t="s">
        <v>156</v>
      </c>
      <c r="C26" s="69">
        <v>20607635162</v>
      </c>
      <c r="D26" s="65" t="s">
        <v>16</v>
      </c>
      <c r="E26" s="66" t="str">
        <f t="shared" si="3"/>
        <v>2</v>
      </c>
      <c r="F26" s="74" t="s">
        <v>157</v>
      </c>
      <c r="G26" s="73" t="s">
        <v>158</v>
      </c>
      <c r="H26" s="1"/>
      <c r="I26" s="53" t="s">
        <v>3</v>
      </c>
      <c r="J26" s="61" t="s">
        <v>119</v>
      </c>
      <c r="K26" s="11">
        <f>IF(I26&lt;&gt;"",(VLOOKUP($C$3,'CRONOGRAMAS 2026'!$L$3:$M$14,2,FALSE)),"")</f>
        <v>46210</v>
      </c>
      <c r="L26" s="11" t="str">
        <f>IFERROR(VLOOKUP(CONCATENATE("2026",TEXT(MONTH($C$3),"00"),"-",$E26),'CRONOGRAMAS 2026'!F:I,4,FALSE),"")</f>
        <v>16/07/2026</v>
      </c>
      <c r="M26" s="11">
        <f>+(IFERROR(VLOOKUP(CONCATENATE("2026",TEXT(MONTH($C$3),"00"),"-", $E26),'CRONOGRAMAS 2026'!A:D,4,FALSE),""))</f>
        <v>46220</v>
      </c>
      <c r="N26">
        <v>100</v>
      </c>
    </row>
    <row r="27" spans="1:14" x14ac:dyDescent="0.3">
      <c r="A27" s="5">
        <f t="shared" si="0"/>
        <v>19</v>
      </c>
      <c r="B27" s="118" t="s">
        <v>159</v>
      </c>
      <c r="C27" s="64">
        <v>20613704893</v>
      </c>
      <c r="D27" s="65" t="s">
        <v>25</v>
      </c>
      <c r="E27" s="66" t="str">
        <f t="shared" si="3"/>
        <v>3</v>
      </c>
      <c r="F27" s="74">
        <v>70617059</v>
      </c>
      <c r="G27" s="73" t="s">
        <v>160</v>
      </c>
      <c r="H27" s="1"/>
      <c r="I27" s="5"/>
      <c r="J27" s="5"/>
      <c r="K27" s="11" t="str">
        <f>IF(I27&lt;&gt;"",(VLOOKUP($C$3,'CRONOGRAMAS 2026'!$L$3:$M$14,2,FALSE)),"")</f>
        <v/>
      </c>
      <c r="L27" s="11" t="str">
        <f>IFERROR(VLOOKUP(CONCATENATE("2026",TEXT(MONTH($C$3),"00"),"-",$E27),'CRONOGRAMAS 2026'!F:I,4,FALSE),"")</f>
        <v>16/07/2026</v>
      </c>
      <c r="M27" s="11">
        <f>+(IFERROR(VLOOKUP(CONCATENATE("2026",TEXT(MONTH($C$3),"00"),"-", $E27),'CRONOGRAMAS 2026'!A:D,4,FALSE),""))</f>
        <v>46220</v>
      </c>
      <c r="N27">
        <v>200</v>
      </c>
    </row>
    <row r="28" spans="1:14" x14ac:dyDescent="0.3">
      <c r="A28" s="5">
        <f>A27+1</f>
        <v>20</v>
      </c>
      <c r="B28" s="118" t="s">
        <v>161</v>
      </c>
      <c r="C28" s="64">
        <v>20607090743</v>
      </c>
      <c r="D28" s="65" t="s">
        <v>16</v>
      </c>
      <c r="E28" s="66" t="str">
        <f t="shared" si="3"/>
        <v>3</v>
      </c>
      <c r="F28" s="74">
        <v>41060440</v>
      </c>
      <c r="G28" s="73" t="s">
        <v>162</v>
      </c>
      <c r="H28" s="1"/>
      <c r="I28" s="5"/>
      <c r="J28" s="5"/>
      <c r="K28" s="11" t="str">
        <f>IF(I28&lt;&gt;"",(VLOOKUP($C$3,'CRONOGRAMAS 2026'!$L$3:$M$14,2,FALSE)),"")</f>
        <v/>
      </c>
      <c r="L28" s="11" t="str">
        <f>IFERROR(VLOOKUP(CONCATENATE("2026",TEXT(MONTH($C$3),"00"),"-",$E28),'CRONOGRAMAS 2026'!F:I,4,FALSE),"")</f>
        <v>16/07/2026</v>
      </c>
      <c r="M28" s="11">
        <f>+(IFERROR(VLOOKUP(CONCATENATE("2026",TEXT(MONTH($C$3),"00"),"-", $E28),'CRONOGRAMAS 2026'!A:D,4,FALSE),""))</f>
        <v>46220</v>
      </c>
      <c r="N28">
        <v>120</v>
      </c>
    </row>
    <row r="29" spans="1:14" x14ac:dyDescent="0.3">
      <c r="A29" s="5">
        <f t="shared" si="0"/>
        <v>21</v>
      </c>
      <c r="B29" s="120" t="s">
        <v>163</v>
      </c>
      <c r="C29" s="75">
        <v>10095550253</v>
      </c>
      <c r="D29" s="65"/>
      <c r="E29" s="66" t="str">
        <f t="shared" si="3"/>
        <v>3</v>
      </c>
      <c r="F29" s="74" t="s">
        <v>164</v>
      </c>
      <c r="G29" s="73" t="s">
        <v>165</v>
      </c>
      <c r="H29" s="1"/>
      <c r="I29" s="5"/>
      <c r="J29" s="5"/>
      <c r="K29" s="11" t="str">
        <f>IF(I29&lt;&gt;"",(VLOOKUP($C$3,'CRONOGRAMAS 2026'!$L$3:$M$14,2,FALSE)),"")</f>
        <v/>
      </c>
      <c r="L29" s="11" t="str">
        <f>IFERROR(VLOOKUP(CONCATENATE("2026",TEXT(MONTH($C$3),"00"),"-",$E29),'CRONOGRAMAS 2026'!F:I,4,FALSE),"")</f>
        <v>16/07/2026</v>
      </c>
      <c r="M29" s="11">
        <f>+(IFERROR(VLOOKUP(CONCATENATE("2026",TEXT(MONTH($C$3),"00"),"-", $E29),'CRONOGRAMAS 2026'!A:D,4,FALSE),""))</f>
        <v>46220</v>
      </c>
      <c r="N29">
        <v>0</v>
      </c>
    </row>
    <row r="30" spans="1:14" x14ac:dyDescent="0.3">
      <c r="A30" s="5">
        <f t="shared" si="0"/>
        <v>22</v>
      </c>
      <c r="B30" s="119" t="s">
        <v>166</v>
      </c>
      <c r="C30" s="69">
        <v>20603927193</v>
      </c>
      <c r="D30" s="65" t="s">
        <v>16</v>
      </c>
      <c r="E30" s="66" t="str">
        <f t="shared" si="3"/>
        <v>3</v>
      </c>
      <c r="F30" s="74" t="s">
        <v>167</v>
      </c>
      <c r="G30" s="73" t="s">
        <v>168</v>
      </c>
      <c r="H30" s="1"/>
      <c r="I30" s="5"/>
      <c r="J30" s="5"/>
      <c r="K30" s="11" t="str">
        <f>IF(I30&lt;&gt;"",(VLOOKUP($C$3,'CRONOGRAMAS 2026'!$L$3:$M$14,2,FALSE)),"")</f>
        <v/>
      </c>
      <c r="L30" s="11" t="str">
        <f>IFERROR(VLOOKUP(CONCATENATE("2026",TEXT(MONTH($C$3),"00"),"-",$E30),'CRONOGRAMAS 2026'!F:I,4,FALSE),"")</f>
        <v>16/07/2026</v>
      </c>
      <c r="M30" s="11">
        <f>+(IFERROR(VLOOKUP(CONCATENATE("2026",TEXT(MONTH($C$3),"00"),"-", $E30),'CRONOGRAMAS 2026'!A:D,4,FALSE),""))</f>
        <v>46220</v>
      </c>
      <c r="N30">
        <v>200</v>
      </c>
    </row>
    <row r="31" spans="1:14" x14ac:dyDescent="0.3">
      <c r="A31" s="5">
        <f t="shared" si="0"/>
        <v>23</v>
      </c>
      <c r="B31" s="118" t="s">
        <v>169</v>
      </c>
      <c r="C31" s="64">
        <v>20608254383</v>
      </c>
      <c r="D31" s="65" t="s">
        <v>25</v>
      </c>
      <c r="E31" s="66" t="str">
        <f t="shared" si="3"/>
        <v>3</v>
      </c>
      <c r="F31" s="74" t="s">
        <v>170</v>
      </c>
      <c r="G31" s="73" t="s">
        <v>171</v>
      </c>
      <c r="H31" s="1"/>
      <c r="I31" s="5"/>
      <c r="J31" s="5"/>
      <c r="K31" s="11" t="str">
        <f>IF(I31&lt;&gt;"",(VLOOKUP($C$3,'CRONOGRAMAS 2026'!$L$3:$M$14,2,FALSE)),"")</f>
        <v/>
      </c>
      <c r="L31" s="11" t="str">
        <f>IFERROR(VLOOKUP(CONCATENATE("2026",TEXT(MONTH($C$3),"00"),"-",$E31),'CRONOGRAMAS 2026'!F:I,4,FALSE),"")</f>
        <v>16/07/2026</v>
      </c>
      <c r="M31" s="11">
        <f>+(IFERROR(VLOOKUP(CONCATENATE("2026",TEXT(MONTH($C$3),"00"),"-", $E31),'CRONOGRAMAS 2026'!A:D,4,FALSE),""))</f>
        <v>46220</v>
      </c>
      <c r="N31">
        <v>0</v>
      </c>
    </row>
    <row r="32" spans="1:14" ht="15" thickBot="1" x14ac:dyDescent="0.35">
      <c r="A32" s="5">
        <f t="shared" si="0"/>
        <v>24</v>
      </c>
      <c r="B32" s="164" t="s">
        <v>172</v>
      </c>
      <c r="C32" s="165">
        <v>20493916093</v>
      </c>
      <c r="D32" s="166" t="s">
        <v>25</v>
      </c>
      <c r="E32" s="167" t="str">
        <f t="shared" si="3"/>
        <v>3</v>
      </c>
      <c r="F32" s="67" t="s">
        <v>173</v>
      </c>
      <c r="G32" s="68" t="s">
        <v>174</v>
      </c>
      <c r="H32" s="168"/>
      <c r="I32" s="169"/>
      <c r="J32" s="169"/>
      <c r="K32" s="132" t="str">
        <f>IF(I32&lt;&gt;"",(VLOOKUP($C$3,'CRONOGRAMAS 2026'!$L$3:$M$14,2,FALSE)),"")</f>
        <v/>
      </c>
      <c r="L32" s="132" t="str">
        <f>IFERROR(VLOOKUP(CONCATENATE("2026",TEXT(MONTH($C$3),"00"),"-",$E32),'CRONOGRAMAS 2026'!F:I,4,FALSE),"")</f>
        <v>16/07/2026</v>
      </c>
      <c r="M32" s="132">
        <f>+(IFERROR(VLOOKUP(CONCATENATE("2026",TEXT(MONTH($C$3),"00"),"-", $E32),'CRONOGRAMAS 2026'!A:D,4,FALSE),""))</f>
        <v>46220</v>
      </c>
      <c r="N32">
        <v>0</v>
      </c>
    </row>
    <row r="33" spans="1:14" x14ac:dyDescent="0.3">
      <c r="A33" s="5">
        <f t="shared" si="0"/>
        <v>25</v>
      </c>
      <c r="B33" s="179" t="s">
        <v>175</v>
      </c>
      <c r="C33" s="23">
        <v>20607411744</v>
      </c>
      <c r="D33" s="24" t="s">
        <v>16</v>
      </c>
      <c r="E33" s="25" t="str">
        <f t="shared" si="3"/>
        <v>4</v>
      </c>
      <c r="F33" s="180" t="s">
        <v>176</v>
      </c>
      <c r="G33" s="27" t="s">
        <v>177</v>
      </c>
      <c r="H33" s="28"/>
      <c r="I33" s="29"/>
      <c r="J33" s="29"/>
      <c r="K33" s="150" t="str">
        <f>IF(I33&lt;&gt;"",(VLOOKUP($C$3,'CRONOGRAMAS 2026'!$L$3:$M$14,2,FALSE)),"")</f>
        <v/>
      </c>
      <c r="L33" s="150" t="str">
        <f>IFERROR(VLOOKUP(CONCATENATE("2026",TEXT(MONTH($C$3),"00"),"-",$E33),'CRONOGRAMAS 2026'!F:I,4,FALSE),"")</f>
        <v>17/07/2026</v>
      </c>
      <c r="M33" s="151">
        <f>+(IFERROR(VLOOKUP(CONCATENATE("2026",TEXT(MONTH($C$3),"00"),"-", $E33),'CRONOGRAMAS 2026'!A:D,4,FALSE),""))</f>
        <v>46223</v>
      </c>
      <c r="N33">
        <v>150</v>
      </c>
    </row>
    <row r="34" spans="1:14" x14ac:dyDescent="0.3">
      <c r="A34" s="5">
        <f t="shared" si="0"/>
        <v>26</v>
      </c>
      <c r="B34" s="181" t="s">
        <v>178</v>
      </c>
      <c r="C34" s="32">
        <v>10421778014</v>
      </c>
      <c r="D34" s="33" t="s">
        <v>16</v>
      </c>
      <c r="E34" s="34" t="str">
        <f t="shared" si="3"/>
        <v>4</v>
      </c>
      <c r="F34" s="35">
        <v>42177801</v>
      </c>
      <c r="G34" s="36" t="s">
        <v>179</v>
      </c>
      <c r="H34" s="37"/>
      <c r="I34" s="38"/>
      <c r="J34" s="38"/>
      <c r="K34" s="11" t="str">
        <f>IF(I34&lt;&gt;"",(VLOOKUP($C$3,'CRONOGRAMAS 2026'!$L$3:$M$14,2,FALSE)),"")</f>
        <v/>
      </c>
      <c r="L34" s="11" t="str">
        <f>IFERROR(VLOOKUP(CONCATENATE("2026",TEXT(MONTH($C$3),"00"),"-",$E34),'CRONOGRAMAS 2026'!F:I,4,FALSE),"")</f>
        <v>17/07/2026</v>
      </c>
      <c r="M34" s="153">
        <f>+(IFERROR(VLOOKUP(CONCATENATE("2026",TEXT(MONTH($C$3),"00"),"-", $E34),'CRONOGRAMAS 2026'!A:D,4,FALSE),""))</f>
        <v>46223</v>
      </c>
      <c r="N34">
        <v>100</v>
      </c>
    </row>
    <row r="35" spans="1:14" x14ac:dyDescent="0.3">
      <c r="A35" s="5">
        <f t="shared" si="0"/>
        <v>27</v>
      </c>
      <c r="B35" s="181" t="s">
        <v>270</v>
      </c>
      <c r="C35" s="32">
        <v>10752500644</v>
      </c>
      <c r="D35" s="33" t="s">
        <v>16</v>
      </c>
      <c r="E35" s="34">
        <v>4</v>
      </c>
      <c r="F35" s="35">
        <v>75250064</v>
      </c>
      <c r="G35" s="235" t="s">
        <v>274</v>
      </c>
      <c r="H35" s="37"/>
      <c r="I35" s="38"/>
      <c r="J35" s="38"/>
      <c r="K35" s="11"/>
      <c r="L35" s="11" t="str">
        <f>IFERROR(VLOOKUP(CONCATENATE("2026",TEXT(MONTH($C$3),"00"),"-",$E35),'CRONOGRAMAS 2026'!F:I,4,FALSE),"")</f>
        <v>17/07/2026</v>
      </c>
      <c r="M35" s="153">
        <f>+(IFERROR(VLOOKUP(CONCATENATE("2026",TEXT(MONTH($C$3),"00"),"-", $E35),'CRONOGRAMAS 2026'!A:D,4,FALSE),""))</f>
        <v>46223</v>
      </c>
      <c r="N35">
        <v>0</v>
      </c>
    </row>
    <row r="36" spans="1:14" x14ac:dyDescent="0.3">
      <c r="A36" s="5">
        <f t="shared" si="0"/>
        <v>28</v>
      </c>
      <c r="B36" s="181" t="s">
        <v>180</v>
      </c>
      <c r="C36" s="32">
        <v>10422730864</v>
      </c>
      <c r="D36" s="33" t="s">
        <v>25</v>
      </c>
      <c r="E36" s="34" t="str">
        <f t="shared" si="3"/>
        <v>4</v>
      </c>
      <c r="F36" s="35" t="s">
        <v>181</v>
      </c>
      <c r="G36" s="36" t="s">
        <v>182</v>
      </c>
      <c r="H36" s="37"/>
      <c r="I36" s="38"/>
      <c r="J36" s="38"/>
      <c r="K36" s="11" t="str">
        <f>IF(I36&lt;&gt;"",(VLOOKUP($C$3,'CRONOGRAMAS 2026'!$L$3:$M$14,2,FALSE)),"")</f>
        <v/>
      </c>
      <c r="L36" s="11" t="str">
        <f>IFERROR(VLOOKUP(CONCATENATE("2026",TEXT(MONTH($C$3),"00"),"-",$E36),'CRONOGRAMAS 2026'!F:I,4,FALSE),"")</f>
        <v>17/07/2026</v>
      </c>
      <c r="M36" s="153">
        <f>+(IFERROR(VLOOKUP(CONCATENATE("2026",TEXT(MONTH($C$3),"00"),"-", $E36),'CRONOGRAMAS 2026'!A:D,4,FALSE),""))</f>
        <v>46223</v>
      </c>
      <c r="N36">
        <v>0</v>
      </c>
    </row>
    <row r="37" spans="1:14" x14ac:dyDescent="0.3">
      <c r="A37" s="5">
        <f t="shared" si="0"/>
        <v>29</v>
      </c>
      <c r="B37" s="181" t="s">
        <v>183</v>
      </c>
      <c r="C37" s="32">
        <v>20608064134</v>
      </c>
      <c r="D37" s="33" t="s">
        <v>16</v>
      </c>
      <c r="E37" s="34" t="str">
        <f t="shared" si="3"/>
        <v>4</v>
      </c>
      <c r="F37" s="35" t="s">
        <v>184</v>
      </c>
      <c r="G37" s="36" t="s">
        <v>185</v>
      </c>
      <c r="H37" s="37"/>
      <c r="I37" s="38"/>
      <c r="J37" s="38"/>
      <c r="K37" s="11" t="str">
        <f>IF(I37&lt;&gt;"",(VLOOKUP($C$3,'CRONOGRAMAS 2026'!$L$3:$M$14,2,FALSE)),"")</f>
        <v/>
      </c>
      <c r="L37" s="11" t="str">
        <f>IFERROR(VLOOKUP(CONCATENATE("2026",TEXT(MONTH($C$3),"00"),"-",$E37),'CRONOGRAMAS 2026'!F:I,4,FALSE),"")</f>
        <v>17/07/2026</v>
      </c>
      <c r="M37" s="153">
        <f>+(IFERROR(VLOOKUP(CONCATENATE("2026",TEXT(MONTH($C$3),"00"),"-", $E37),'CRONOGRAMAS 2026'!A:D,4,FALSE),""))</f>
        <v>46223</v>
      </c>
      <c r="N37">
        <v>0</v>
      </c>
    </row>
    <row r="38" spans="1:14" x14ac:dyDescent="0.3">
      <c r="A38" s="5">
        <f t="shared" si="0"/>
        <v>30</v>
      </c>
      <c r="B38" s="181" t="s">
        <v>186</v>
      </c>
      <c r="C38" s="32">
        <v>10405651764</v>
      </c>
      <c r="D38" s="33" t="s">
        <v>16</v>
      </c>
      <c r="E38" s="34" t="str">
        <f t="shared" si="3"/>
        <v>4</v>
      </c>
      <c r="F38" s="78" t="s">
        <v>187</v>
      </c>
      <c r="G38" s="36" t="s">
        <v>188</v>
      </c>
      <c r="H38" s="37"/>
      <c r="I38" s="38"/>
      <c r="J38" s="38"/>
      <c r="K38" s="11" t="str">
        <f>IF(I38&lt;&gt;"",(VLOOKUP($C$3,'CRONOGRAMAS 2026'!$L$3:$M$14,2,FALSE)),"")</f>
        <v/>
      </c>
      <c r="L38" s="11" t="str">
        <f>IFERROR(VLOOKUP(CONCATENATE("2026",TEXT(MONTH($C$3),"00"),"-",$E38),'CRONOGRAMAS 2026'!F:I,4,FALSE),"")</f>
        <v>17/07/2026</v>
      </c>
      <c r="M38" s="153">
        <f>+(IFERROR(VLOOKUP(CONCATENATE("2026",TEXT(MONTH($C$3),"00"),"-", $E38),'CRONOGRAMAS 2026'!A:D,4,FALSE),""))</f>
        <v>46223</v>
      </c>
      <c r="N38">
        <v>50</v>
      </c>
    </row>
    <row r="39" spans="1:14" x14ac:dyDescent="0.3">
      <c r="A39" s="5">
        <f t="shared" si="0"/>
        <v>31</v>
      </c>
      <c r="B39" s="181" t="s">
        <v>189</v>
      </c>
      <c r="C39" s="32">
        <v>10278513594</v>
      </c>
      <c r="D39" s="33" t="s">
        <v>16</v>
      </c>
      <c r="E39" s="34" t="str">
        <f t="shared" si="3"/>
        <v>4</v>
      </c>
      <c r="F39" s="35">
        <v>27851359</v>
      </c>
      <c r="G39" s="36" t="s">
        <v>190</v>
      </c>
      <c r="H39" s="37"/>
      <c r="I39" s="38"/>
      <c r="J39" s="38"/>
      <c r="K39" s="11" t="str">
        <f>IF(I39&lt;&gt;"",(VLOOKUP($C$3,'CRONOGRAMAS 2026'!$L$3:$M$14,2,FALSE)),"")</f>
        <v/>
      </c>
      <c r="L39" s="11" t="str">
        <f>IFERROR(VLOOKUP(CONCATENATE("2026",TEXT(MONTH($C$3),"00"),"-",$E39),'CRONOGRAMAS 2026'!F:I,4,FALSE),"")</f>
        <v>17/07/2026</v>
      </c>
      <c r="M39" s="153">
        <f>+(IFERROR(VLOOKUP(CONCATENATE("2026",TEXT(MONTH($C$3),"00"),"-", $E39),'CRONOGRAMAS 2026'!A:D,4,FALSE),""))</f>
        <v>46223</v>
      </c>
      <c r="N39">
        <v>50</v>
      </c>
    </row>
    <row r="40" spans="1:14" x14ac:dyDescent="0.3">
      <c r="A40" s="5">
        <f t="shared" si="0"/>
        <v>32</v>
      </c>
      <c r="B40" s="183" t="s">
        <v>191</v>
      </c>
      <c r="C40" s="40">
        <v>20614573024</v>
      </c>
      <c r="D40" s="41" t="s">
        <v>25</v>
      </c>
      <c r="E40" s="42" t="str">
        <f t="shared" si="3"/>
        <v>4</v>
      </c>
      <c r="F40" s="43" t="s">
        <v>192</v>
      </c>
      <c r="G40" s="44" t="s">
        <v>193</v>
      </c>
      <c r="H40" s="45"/>
      <c r="I40" s="38" t="s">
        <v>3</v>
      </c>
      <c r="J40" s="61" t="s">
        <v>119</v>
      </c>
      <c r="K40" s="11">
        <f>IF(I40&lt;&gt;"",(VLOOKUP($C$3,'CRONOGRAMAS 2026'!$L$3:$M$14,2,FALSE)),"")</f>
        <v>46210</v>
      </c>
      <c r="L40" s="11" t="str">
        <f>IFERROR(VLOOKUP(CONCATENATE("2026",TEXT(MONTH($C$3),"00"),"-",$E40),'CRONOGRAMAS 2026'!F:I,4,FALSE),"")</f>
        <v>17/07/2026</v>
      </c>
      <c r="M40" s="153">
        <f>+(IFERROR(VLOOKUP(CONCATENATE("2026",TEXT(MONTH($C$3),"00"),"-", $E40),'CRONOGRAMAS 2026'!A:D,4,FALSE),""))</f>
        <v>46223</v>
      </c>
      <c r="N40">
        <v>700</v>
      </c>
    </row>
    <row r="41" spans="1:14" x14ac:dyDescent="0.3">
      <c r="A41" s="5">
        <f t="shared" si="0"/>
        <v>33</v>
      </c>
      <c r="B41" s="182" t="s">
        <v>194</v>
      </c>
      <c r="C41" s="39">
        <v>20612175005</v>
      </c>
      <c r="D41" s="33" t="s">
        <v>16</v>
      </c>
      <c r="E41" s="34" t="str">
        <f t="shared" si="3"/>
        <v>5</v>
      </c>
      <c r="F41" s="35">
        <v>41096825</v>
      </c>
      <c r="G41" s="80" t="s">
        <v>195</v>
      </c>
      <c r="H41" s="37"/>
      <c r="I41" s="38" t="s">
        <v>3</v>
      </c>
      <c r="J41" s="61" t="s">
        <v>119</v>
      </c>
      <c r="K41" s="11">
        <f>IF(I41&lt;&gt;"",(VLOOKUP($C$3,'CRONOGRAMAS 2026'!$L$3:$M$14,2,FALSE)),"")</f>
        <v>46210</v>
      </c>
      <c r="L41" s="11" t="str">
        <f>IFERROR(VLOOKUP(CONCATENATE("2026",TEXT(MONTH($C$3),"00"),"-",$E41),'CRONOGRAMAS 2026'!F:I,4,FALSE),"")</f>
        <v>17/07/2026</v>
      </c>
      <c r="M41" s="153">
        <f>+(IFERROR(VLOOKUP(CONCATENATE("2026",TEXT(MONTH($C$3),"00"),"-", $E41),'CRONOGRAMAS 2026'!A:D,4,FALSE),""))</f>
        <v>46223</v>
      </c>
      <c r="N41">
        <v>300</v>
      </c>
    </row>
    <row r="42" spans="1:14" s="244" customFormat="1" x14ac:dyDescent="0.3">
      <c r="A42" s="5">
        <f t="shared" si="0"/>
        <v>34</v>
      </c>
      <c r="B42" s="181" t="s">
        <v>279</v>
      </c>
      <c r="C42" s="32">
        <v>10009683475</v>
      </c>
      <c r="D42" s="33" t="s">
        <v>16</v>
      </c>
      <c r="E42" s="34" t="str">
        <f t="shared" si="3"/>
        <v>5</v>
      </c>
      <c r="F42" s="78" t="s">
        <v>278</v>
      </c>
      <c r="G42" s="269" t="s">
        <v>280</v>
      </c>
      <c r="H42" s="245"/>
      <c r="I42" s="246"/>
      <c r="J42" s="247"/>
      <c r="K42" s="243"/>
      <c r="L42" s="243"/>
      <c r="M42" s="248"/>
    </row>
    <row r="43" spans="1:14" x14ac:dyDescent="0.3">
      <c r="A43" s="5">
        <f t="shared" si="0"/>
        <v>35</v>
      </c>
      <c r="B43" s="181" t="s">
        <v>196</v>
      </c>
      <c r="C43" s="32">
        <v>20606737395</v>
      </c>
      <c r="D43" s="33" t="s">
        <v>16</v>
      </c>
      <c r="E43" s="34" t="str">
        <f t="shared" si="3"/>
        <v>5</v>
      </c>
      <c r="F43" s="35">
        <v>77675570</v>
      </c>
      <c r="G43" s="36" t="s">
        <v>197</v>
      </c>
      <c r="H43" s="37"/>
      <c r="I43" s="38"/>
      <c r="J43" s="38"/>
      <c r="K43" s="11" t="str">
        <f>IF(I43&lt;&gt;"",(VLOOKUP($C$3,'CRONOGRAMAS 2026'!$L$3:$M$14,2,FALSE)),"")</f>
        <v/>
      </c>
      <c r="L43" s="11" t="str">
        <f>IFERROR(VLOOKUP(CONCATENATE("2026",TEXT(MONTH($C$3),"00"),"-",$E43),'CRONOGRAMAS 2026'!F:I,4,FALSE),"")</f>
        <v>17/07/2026</v>
      </c>
      <c r="M43" s="153">
        <f>+(IFERROR(VLOOKUP(CONCATENATE("2026",TEXT(MONTH($C$3),"00"),"-", $E43),'CRONOGRAMAS 2026'!A:D,4,FALSE),""))</f>
        <v>46223</v>
      </c>
      <c r="N43">
        <v>100</v>
      </c>
    </row>
    <row r="44" spans="1:14" ht="15" thickBot="1" x14ac:dyDescent="0.35">
      <c r="A44" s="5">
        <f t="shared" si="0"/>
        <v>36</v>
      </c>
      <c r="B44" s="184" t="s">
        <v>198</v>
      </c>
      <c r="C44" s="185">
        <v>20609468875</v>
      </c>
      <c r="D44" s="186" t="s">
        <v>16</v>
      </c>
      <c r="E44" s="187" t="str">
        <f t="shared" si="3"/>
        <v>5</v>
      </c>
      <c r="F44" s="188" t="s">
        <v>199</v>
      </c>
      <c r="G44" s="189" t="s">
        <v>200</v>
      </c>
      <c r="H44" s="190"/>
      <c r="I44" s="191"/>
      <c r="J44" s="191"/>
      <c r="K44" s="162" t="str">
        <f>IF(I44&lt;&gt;"",(VLOOKUP($C$3,'CRONOGRAMAS 2026'!$L$3:$M$14,2,FALSE)),"")</f>
        <v/>
      </c>
      <c r="L44" s="162" t="str">
        <f>IFERROR(VLOOKUP(CONCATENATE("2026",TEXT(MONTH($C$3),"00"),"-",$E44),'CRONOGRAMAS 2026'!F:I,4,FALSE),"")</f>
        <v>17/07/2026</v>
      </c>
      <c r="M44" s="163">
        <f>+(IFERROR(VLOOKUP(CONCATENATE("2026",TEXT(MONTH($C$3),"00"),"-", $E44),'CRONOGRAMAS 2026'!A:D,4,FALSE),""))</f>
        <v>46223</v>
      </c>
      <c r="N44">
        <v>150</v>
      </c>
    </row>
    <row r="45" spans="1:14" x14ac:dyDescent="0.3">
      <c r="A45" s="5">
        <f t="shared" si="0"/>
        <v>37</v>
      </c>
      <c r="B45" s="170" t="s">
        <v>201</v>
      </c>
      <c r="C45" s="171">
        <v>20607327816</v>
      </c>
      <c r="D45" s="172" t="s">
        <v>25</v>
      </c>
      <c r="E45" s="173" t="str">
        <f t="shared" si="3"/>
        <v>6</v>
      </c>
      <c r="F45" s="174">
        <v>45702638</v>
      </c>
      <c r="G45" s="175" t="s">
        <v>202</v>
      </c>
      <c r="H45" s="176"/>
      <c r="I45" s="177" t="s">
        <v>3</v>
      </c>
      <c r="J45" s="178" t="s">
        <v>119</v>
      </c>
      <c r="K45" s="140">
        <f>IF(I45&lt;&gt;"",(VLOOKUP($C$3,'CRONOGRAMAS 2026'!$L$3:$M$14,2,FALSE)),"")</f>
        <v>46210</v>
      </c>
      <c r="L45" s="140" t="str">
        <f>IFERROR(VLOOKUP(CONCATENATE("2026",TEXT(MONTH($C$3),"00"),"-",$E45),'CRONOGRAMAS 2026'!F:I,4,FALSE),"")</f>
        <v>20/07/2026</v>
      </c>
      <c r="M45" s="140">
        <f>+(IFERROR(VLOOKUP(CONCATENATE("2026",TEXT(MONTH($C$3),"00"),"-", $E45),'CRONOGRAMAS 2026'!A:D,4,FALSE),""))</f>
        <v>46224</v>
      </c>
      <c r="N45">
        <v>500</v>
      </c>
    </row>
    <row r="46" spans="1:14" x14ac:dyDescent="0.3">
      <c r="A46" s="5">
        <f t="shared" si="0"/>
        <v>38</v>
      </c>
      <c r="B46" s="81" t="s">
        <v>203</v>
      </c>
      <c r="C46" s="82">
        <v>20600691806</v>
      </c>
      <c r="D46" s="83" t="s">
        <v>25</v>
      </c>
      <c r="E46" s="84" t="str">
        <f t="shared" si="3"/>
        <v>6</v>
      </c>
      <c r="F46" s="85" t="s">
        <v>204</v>
      </c>
      <c r="G46" s="86" t="s">
        <v>205</v>
      </c>
      <c r="H46" s="87"/>
      <c r="I46" s="88" t="s">
        <v>3</v>
      </c>
      <c r="J46" s="61" t="s">
        <v>119</v>
      </c>
      <c r="K46" s="11">
        <f>IF(I46&lt;&gt;"",(VLOOKUP($C$3,'CRONOGRAMAS 2026'!$L$3:$M$14,2,FALSE)),"")</f>
        <v>46210</v>
      </c>
      <c r="L46" s="11" t="str">
        <f>IFERROR(VLOOKUP(CONCATENATE("2026",TEXT(MONTH($C$3),"00"),"-",$E46),'CRONOGRAMAS 2026'!F:I,4,FALSE),"")</f>
        <v>20/07/2026</v>
      </c>
      <c r="M46" s="11">
        <f>+(IFERROR(VLOOKUP(CONCATENATE("2026",TEXT(MONTH($C$3),"00"),"-", $E46),'CRONOGRAMAS 2026'!A:D,4,FALSE),""))</f>
        <v>46224</v>
      </c>
      <c r="N46">
        <v>500</v>
      </c>
    </row>
    <row r="47" spans="1:14" x14ac:dyDescent="0.3">
      <c r="A47" s="5">
        <f t="shared" si="0"/>
        <v>39</v>
      </c>
      <c r="B47" s="89" t="s">
        <v>206</v>
      </c>
      <c r="C47" s="90">
        <v>10009717736</v>
      </c>
      <c r="D47" s="83" t="s">
        <v>25</v>
      </c>
      <c r="E47" s="84" t="str">
        <f t="shared" si="3"/>
        <v>6</v>
      </c>
      <c r="F47" s="85" t="s">
        <v>207</v>
      </c>
      <c r="G47" s="86" t="s">
        <v>208</v>
      </c>
      <c r="H47" s="87"/>
      <c r="I47" s="88"/>
      <c r="J47" s="88"/>
      <c r="K47" s="11" t="str">
        <f>IF(I47&lt;&gt;"",(VLOOKUP($C$3,'CRONOGRAMAS 2026'!$L$3:$M$14,2,FALSE)),"")</f>
        <v/>
      </c>
      <c r="L47" s="11" t="str">
        <f>IFERROR(VLOOKUP(CONCATENATE("2026",TEXT(MONTH($C$3),"00"),"-",$E47),'CRONOGRAMAS 2026'!F:I,4,FALSE),"")</f>
        <v>20/07/2026</v>
      </c>
      <c r="M47" s="11">
        <f>+(IFERROR(VLOOKUP(CONCATENATE("2026",TEXT(MONTH($C$3),"00"),"-", $E47),'CRONOGRAMAS 2026'!A:D,4,FALSE),""))</f>
        <v>46224</v>
      </c>
      <c r="N47">
        <v>0</v>
      </c>
    </row>
    <row r="48" spans="1:14" x14ac:dyDescent="0.3">
      <c r="A48" s="5">
        <f t="shared" si="0"/>
        <v>40</v>
      </c>
      <c r="B48" s="89" t="s">
        <v>268</v>
      </c>
      <c r="C48" s="90">
        <v>20615645266</v>
      </c>
      <c r="D48" s="83" t="s">
        <v>16</v>
      </c>
      <c r="E48" s="84">
        <v>6</v>
      </c>
      <c r="F48" s="85">
        <v>27731011</v>
      </c>
      <c r="G48" s="86" t="s">
        <v>269</v>
      </c>
      <c r="H48" s="87"/>
      <c r="I48" s="88"/>
      <c r="J48" s="88"/>
      <c r="K48" s="11"/>
      <c r="L48" s="11" t="str">
        <f>IFERROR(VLOOKUP(CONCATENATE("2026",TEXT(MONTH($C$3),"00"),"-",$E48),'CRONOGRAMAS 2026'!F:I,4,FALSE),"")</f>
        <v>20/07/2026</v>
      </c>
      <c r="M48" s="11">
        <f>+(IFERROR(VLOOKUP(CONCATENATE("2026",TEXT(MONTH($C$3),"00"),"-", $E48),'CRONOGRAMAS 2026'!A:D,4,FALSE),""))</f>
        <v>46224</v>
      </c>
      <c r="N48">
        <v>200</v>
      </c>
    </row>
    <row r="49" spans="1:14" x14ac:dyDescent="0.3">
      <c r="A49" s="5">
        <f t="shared" si="0"/>
        <v>41</v>
      </c>
      <c r="B49" s="227" t="s">
        <v>209</v>
      </c>
      <c r="C49" s="228">
        <v>20494121426</v>
      </c>
      <c r="D49" s="83" t="s">
        <v>25</v>
      </c>
      <c r="E49" s="84" t="str">
        <f t="shared" si="3"/>
        <v>6</v>
      </c>
      <c r="F49" s="85" t="s">
        <v>210</v>
      </c>
      <c r="G49" s="86" t="s">
        <v>211</v>
      </c>
      <c r="H49" s="87"/>
      <c r="I49" s="88" t="s">
        <v>3</v>
      </c>
      <c r="J49" s="61" t="s">
        <v>119</v>
      </c>
      <c r="K49" s="11">
        <f>IF(I49&lt;&gt;"",(VLOOKUP($C$3,'CRONOGRAMAS 2026'!$L$3:$M$14,2,FALSE)),"")</f>
        <v>46210</v>
      </c>
      <c r="L49" s="11" t="str">
        <f>IFERROR(VLOOKUP(CONCATENATE("2026",TEXT(MONTH($C$3),"00"),"-",$E49),'CRONOGRAMAS 2026'!F:I,4,FALSE),"")</f>
        <v>20/07/2026</v>
      </c>
      <c r="M49" s="11">
        <f>+(IFERROR(VLOOKUP(CONCATENATE("2026",TEXT(MONTH($C$3),"00"),"-", $E49),'CRONOGRAMAS 2026'!A:D,4,FALSE),""))</f>
        <v>46224</v>
      </c>
      <c r="N49">
        <v>0</v>
      </c>
    </row>
    <row r="50" spans="1:14" x14ac:dyDescent="0.3">
      <c r="A50" s="5">
        <f t="shared" si="0"/>
        <v>42</v>
      </c>
      <c r="B50" s="227" t="s">
        <v>212</v>
      </c>
      <c r="C50" s="228">
        <v>20603462476</v>
      </c>
      <c r="D50" s="83" t="s">
        <v>25</v>
      </c>
      <c r="E50" s="84" t="str">
        <f t="shared" si="3"/>
        <v>6</v>
      </c>
      <c r="F50" s="85" t="s">
        <v>213</v>
      </c>
      <c r="G50" s="86" t="s">
        <v>214</v>
      </c>
      <c r="H50" s="87"/>
      <c r="I50" s="88"/>
      <c r="J50" s="88"/>
      <c r="K50" s="11" t="str">
        <f>IF(I50&lt;&gt;"",(VLOOKUP($C$3,'CRONOGRAMAS 2026'!$L$3:$M$14,2,FALSE)),"")</f>
        <v/>
      </c>
      <c r="L50" s="11" t="str">
        <f>IFERROR(VLOOKUP(CONCATENATE("2026",TEXT(MONTH($C$3),"00"),"-",$E50),'CRONOGRAMAS 2026'!F:I,4,FALSE),"")</f>
        <v>20/07/2026</v>
      </c>
      <c r="M50" s="11">
        <f>+(IFERROR(VLOOKUP(CONCATENATE("2026",TEXT(MONTH($C$3),"00"),"-", $E50),'CRONOGRAMAS 2026'!A:D,4,FALSE),""))</f>
        <v>46224</v>
      </c>
      <c r="N50">
        <v>0</v>
      </c>
    </row>
    <row r="51" spans="1:14" x14ac:dyDescent="0.3">
      <c r="A51" s="5">
        <f t="shared" si="0"/>
        <v>43</v>
      </c>
      <c r="B51" s="91" t="s">
        <v>215</v>
      </c>
      <c r="C51" s="92">
        <v>10440784807</v>
      </c>
      <c r="D51" s="83" t="s">
        <v>16</v>
      </c>
      <c r="E51" s="84" t="str">
        <f t="shared" si="3"/>
        <v>7</v>
      </c>
      <c r="F51" s="93" t="s">
        <v>216</v>
      </c>
      <c r="G51" s="94" t="s">
        <v>217</v>
      </c>
      <c r="H51" s="87"/>
      <c r="I51" s="88" t="s">
        <v>3</v>
      </c>
      <c r="J51" s="61" t="s">
        <v>119</v>
      </c>
      <c r="K51" s="11">
        <f>IF(I51&lt;&gt;"",(VLOOKUP($C$3,'CRONOGRAMAS 2026'!$L$3:$M$14,2,FALSE)),"")</f>
        <v>46210</v>
      </c>
      <c r="L51" s="11" t="str">
        <f>IFERROR(VLOOKUP(CONCATENATE("2026",TEXT(MONTH($C$3),"00"),"-",$E51),'CRONOGRAMAS 2026'!F:I,4,FALSE),"")</f>
        <v>20/07/2026</v>
      </c>
      <c r="M51" s="11">
        <f>+(IFERROR(VLOOKUP(CONCATENATE("2026",TEXT(MONTH($C$3),"00"),"-", $E51),'CRONOGRAMAS 2026'!A:D,4,FALSE),""))</f>
        <v>46224</v>
      </c>
      <c r="N51">
        <v>200</v>
      </c>
    </row>
    <row r="52" spans="1:14" x14ac:dyDescent="0.3">
      <c r="A52" s="5">
        <f t="shared" si="0"/>
        <v>44</v>
      </c>
      <c r="B52" s="94" t="s">
        <v>218</v>
      </c>
      <c r="C52" s="95">
        <v>20609533707</v>
      </c>
      <c r="D52" s="96" t="s">
        <v>16</v>
      </c>
      <c r="E52" s="97">
        <v>7</v>
      </c>
      <c r="F52" s="98">
        <v>17949859</v>
      </c>
      <c r="G52" s="95" t="s">
        <v>219</v>
      </c>
      <c r="H52" s="99"/>
      <c r="I52" s="100"/>
      <c r="J52" s="31"/>
      <c r="K52" s="11" t="str">
        <f>IF(I52&lt;&gt;"",(VLOOKUP($C$3,'CRONOGRAMAS 2026'!$L$3:$M$14,2,FALSE)),"")</f>
        <v/>
      </c>
      <c r="L52" s="11" t="str">
        <f>IFERROR(VLOOKUP(CONCATENATE("2026",TEXT(MONTH($C$3),"00"),"-",$E52),'CRONOGRAMAS 2026'!F:I,4,FALSE),"")</f>
        <v>20/07/2026</v>
      </c>
      <c r="M52" s="11">
        <f>+(IFERROR(VLOOKUP(CONCATENATE("2026",TEXT(MONTH($C$3),"00"),"-", $E52),'CRONOGRAMAS 2026'!A:D,4,FALSE),""))</f>
        <v>46224</v>
      </c>
      <c r="N52">
        <v>0</v>
      </c>
    </row>
    <row r="53" spans="1:14" ht="15" thickBot="1" x14ac:dyDescent="0.35">
      <c r="A53" s="5">
        <f t="shared" si="0"/>
        <v>45</v>
      </c>
      <c r="B53" s="192" t="s">
        <v>220</v>
      </c>
      <c r="C53" s="95">
        <v>20607473847</v>
      </c>
      <c r="D53" s="96" t="s">
        <v>16</v>
      </c>
      <c r="E53" s="97" t="str">
        <f t="shared" si="3"/>
        <v>7</v>
      </c>
      <c r="F53" s="193" t="s">
        <v>221</v>
      </c>
      <c r="G53" s="194" t="s">
        <v>222</v>
      </c>
      <c r="H53" s="99"/>
      <c r="I53" s="100"/>
      <c r="J53" s="100"/>
      <c r="K53" s="132" t="str">
        <f>IF(I53&lt;&gt;"",(VLOOKUP($C$3,'CRONOGRAMAS 2026'!$L$3:$M$14,2,FALSE)),"")</f>
        <v/>
      </c>
      <c r="L53" s="132" t="str">
        <f>IFERROR(VLOOKUP(CONCATENATE("2026",TEXT(MONTH($C$3),"00"),"-",$E53),'CRONOGRAMAS 2026'!F:I,4,FALSE),"")</f>
        <v>20/07/2026</v>
      </c>
      <c r="M53" s="132">
        <f>+(IFERROR(VLOOKUP(CONCATENATE("2026",TEXT(MONTH($C$3),"00"),"-", $E53),'CRONOGRAMAS 2026'!A:D,4,FALSE),""))</f>
        <v>46224</v>
      </c>
      <c r="N53">
        <v>100</v>
      </c>
    </row>
    <row r="54" spans="1:14" x14ac:dyDescent="0.3">
      <c r="A54" s="131">
        <f t="shared" si="0"/>
        <v>46</v>
      </c>
      <c r="B54" s="195" t="s">
        <v>223</v>
      </c>
      <c r="C54" s="196">
        <v>20606305908</v>
      </c>
      <c r="D54" s="197" t="s">
        <v>16</v>
      </c>
      <c r="E54" s="198" t="str">
        <f t="shared" si="3"/>
        <v>8</v>
      </c>
      <c r="F54" s="199">
        <v>41096825</v>
      </c>
      <c r="G54" s="199" t="s">
        <v>224</v>
      </c>
      <c r="H54" s="200"/>
      <c r="I54" s="201"/>
      <c r="J54" s="201"/>
      <c r="K54" s="150" t="str">
        <f>IF(I54&lt;&gt;"",(VLOOKUP($C$3,'CRONOGRAMAS 2026'!$L$3:$M$14,2,FALSE)),"")</f>
        <v/>
      </c>
      <c r="L54" s="150" t="str">
        <f>IFERROR(VLOOKUP(CONCATENATE("2026",TEXT(MONTH($C$3),"00"),"-",$E54),'CRONOGRAMAS 2026'!F:I,4,FALSE),"")</f>
        <v>21/07/2026</v>
      </c>
      <c r="M54" s="151">
        <f>+(IFERROR(VLOOKUP(CONCATENATE("2026",TEXT(MONTH($C$3),"00"),"-", $E54),'CRONOGRAMAS 2026'!A:D,4,FALSE),""))</f>
        <v>46225</v>
      </c>
      <c r="N54">
        <v>0</v>
      </c>
    </row>
    <row r="55" spans="1:14" x14ac:dyDescent="0.3">
      <c r="A55" s="131">
        <f t="shared" si="0"/>
        <v>47</v>
      </c>
      <c r="B55" s="202" t="s">
        <v>225</v>
      </c>
      <c r="C55" s="101">
        <v>10763376538</v>
      </c>
      <c r="D55" s="102" t="s">
        <v>16</v>
      </c>
      <c r="E55" s="103" t="str">
        <f t="shared" si="3"/>
        <v>8</v>
      </c>
      <c r="F55" s="104" t="s">
        <v>226</v>
      </c>
      <c r="G55" s="101" t="s">
        <v>227</v>
      </c>
      <c r="H55" s="105"/>
      <c r="I55" s="106"/>
      <c r="J55" s="106"/>
      <c r="K55" s="11" t="str">
        <f>IF(I55&lt;&gt;"",(VLOOKUP($C$3,'CRONOGRAMAS 2026'!$L$3:$M$14,2,FALSE)),"")</f>
        <v/>
      </c>
      <c r="L55" s="11" t="str">
        <f>IFERROR(VLOOKUP(CONCATENATE("2026",TEXT(MONTH($C$3),"00"),"-",$E55),'CRONOGRAMAS 2026'!F:I,4,FALSE),"")</f>
        <v>21/07/2026</v>
      </c>
      <c r="M55" s="153">
        <f>+(IFERROR(VLOOKUP(CONCATENATE("2026",TEXT(MONTH($C$3),"00"),"-", $E55),'CRONOGRAMAS 2026'!A:D,4,FALSE),""))</f>
        <v>46225</v>
      </c>
      <c r="N55">
        <v>80</v>
      </c>
    </row>
    <row r="56" spans="1:14" x14ac:dyDescent="0.3">
      <c r="A56" s="131">
        <f t="shared" si="0"/>
        <v>48</v>
      </c>
      <c r="B56" s="202" t="s">
        <v>228</v>
      </c>
      <c r="C56" s="101">
        <v>10761714878</v>
      </c>
      <c r="D56" s="102" t="s">
        <v>16</v>
      </c>
      <c r="E56" s="103">
        <v>8</v>
      </c>
      <c r="F56" s="104" t="s">
        <v>229</v>
      </c>
      <c r="G56" s="101" t="s">
        <v>230</v>
      </c>
      <c r="H56" s="105"/>
      <c r="I56" s="106"/>
      <c r="J56" s="106"/>
      <c r="K56" s="11" t="str">
        <f>IF(I56&lt;&gt;"",(VLOOKUP($C$3,'CRONOGRAMAS 2026'!$L$3:$M$14,2,FALSE)),"")</f>
        <v/>
      </c>
      <c r="L56" s="11" t="str">
        <f>IFERROR(VLOOKUP(CONCATENATE("2026",TEXT(MONTH($C$3),"00"),"-",$E56),'CRONOGRAMAS 2026'!F:I,4,FALSE),"")</f>
        <v>21/07/2026</v>
      </c>
      <c r="M56" s="153">
        <f>+(IFERROR(VLOOKUP(CONCATENATE("2026",TEXT(MONTH($C$3),"00"),"-", $E56),'CRONOGRAMAS 2026'!A:D,4,FALSE),""))</f>
        <v>46225</v>
      </c>
      <c r="N56">
        <v>150</v>
      </c>
    </row>
    <row r="57" spans="1:14" x14ac:dyDescent="0.3">
      <c r="A57" s="131">
        <f t="shared" si="0"/>
        <v>49</v>
      </c>
      <c r="B57" s="202" t="s">
        <v>231</v>
      </c>
      <c r="C57" s="101">
        <v>10009743648</v>
      </c>
      <c r="D57" s="102" t="s">
        <v>25</v>
      </c>
      <c r="E57" s="103">
        <v>8</v>
      </c>
      <c r="F57" s="107" t="s">
        <v>232</v>
      </c>
      <c r="G57" s="101" t="s">
        <v>233</v>
      </c>
      <c r="H57" s="105"/>
      <c r="I57" s="106"/>
      <c r="J57" s="106"/>
      <c r="K57" s="11" t="str">
        <f>IF(I57&lt;&gt;"",(VLOOKUP($C$3,'CRONOGRAMAS 2026'!$L$3:$M$14,2,FALSE)),"")</f>
        <v/>
      </c>
      <c r="L57" s="11" t="str">
        <f>IFERROR(VLOOKUP(CONCATENATE("2026",TEXT(MONTH($C$3),"00"),"-",$E57),'CRONOGRAMAS 2026'!F:I,4,FALSE),"")</f>
        <v>21/07/2026</v>
      </c>
      <c r="M57" s="153">
        <f>+(IFERROR(VLOOKUP(CONCATENATE("2026",TEXT(MONTH($C$3),"00"),"-", $E57),'CRONOGRAMAS 2026'!A:D,4,FALSE),""))</f>
        <v>46225</v>
      </c>
      <c r="N57">
        <v>150</v>
      </c>
    </row>
    <row r="58" spans="1:14" x14ac:dyDescent="0.3">
      <c r="A58" s="131">
        <f t="shared" si="0"/>
        <v>50</v>
      </c>
      <c r="B58" s="202" t="s">
        <v>234</v>
      </c>
      <c r="C58" s="101">
        <v>10445334788</v>
      </c>
      <c r="D58" s="102" t="s">
        <v>25</v>
      </c>
      <c r="E58" s="103">
        <v>8</v>
      </c>
      <c r="F58" s="104" t="s">
        <v>235</v>
      </c>
      <c r="G58" s="104">
        <v>20050129</v>
      </c>
      <c r="H58" s="105"/>
      <c r="I58" s="106"/>
      <c r="J58" s="106"/>
      <c r="K58" s="11" t="str">
        <f>IF(I58&lt;&gt;"",(VLOOKUP($C$3,'CRONOGRAMAS 2026'!$L$3:$M$14,2,FALSE)),"")</f>
        <v/>
      </c>
      <c r="L58" s="11" t="str">
        <f>IFERROR(VLOOKUP(CONCATENATE("2026",TEXT(MONTH($C$3),"00"),"-",$E58),'CRONOGRAMAS 2026'!F:I,4,FALSE),"")</f>
        <v>21/07/2026</v>
      </c>
      <c r="M58" s="153">
        <f>+(IFERROR(VLOOKUP(CONCATENATE("2026",TEXT(MONTH($C$3),"00"),"-", $E58),'CRONOGRAMAS 2026'!A:D,4,FALSE),""))</f>
        <v>46225</v>
      </c>
      <c r="N58">
        <v>100</v>
      </c>
    </row>
    <row r="59" spans="1:14" x14ac:dyDescent="0.3">
      <c r="A59" s="131">
        <f t="shared" si="0"/>
        <v>51</v>
      </c>
      <c r="B59" s="203" t="s">
        <v>236</v>
      </c>
      <c r="C59" s="108">
        <v>10277310118</v>
      </c>
      <c r="D59" s="102" t="s">
        <v>16</v>
      </c>
      <c r="E59" s="103" t="str">
        <f t="shared" si="3"/>
        <v>8</v>
      </c>
      <c r="F59" s="109">
        <v>27731011</v>
      </c>
      <c r="G59" s="110" t="s">
        <v>237</v>
      </c>
      <c r="H59" s="105"/>
      <c r="I59" s="106"/>
      <c r="J59" s="106"/>
      <c r="K59" s="11" t="str">
        <f>IF(I59&lt;&gt;"",(VLOOKUP($C$3,'CRONOGRAMAS 2026'!$L$3:$M$14,2,FALSE)),"")</f>
        <v/>
      </c>
      <c r="L59" s="11" t="str">
        <f>IFERROR(VLOOKUP(CONCATENATE("2026",TEXT(MONTH($C$3),"00"),"-",$E59),'CRONOGRAMAS 2026'!F:I,4,FALSE),"")</f>
        <v>21/07/2026</v>
      </c>
      <c r="M59" s="153">
        <f>+(IFERROR(VLOOKUP(CONCATENATE("2026",TEXT(MONTH($C$3),"00"),"-", $E59),'CRONOGRAMAS 2026'!A:D,4,FALSE),""))</f>
        <v>46225</v>
      </c>
      <c r="N59">
        <v>0</v>
      </c>
    </row>
    <row r="60" spans="1:14" x14ac:dyDescent="0.3">
      <c r="A60" s="131">
        <f t="shared" si="0"/>
        <v>52</v>
      </c>
      <c r="B60" s="204" t="s">
        <v>238</v>
      </c>
      <c r="C60" s="111">
        <v>20608508369</v>
      </c>
      <c r="D60" s="102" t="s">
        <v>25</v>
      </c>
      <c r="E60" s="103" t="str">
        <f t="shared" si="3"/>
        <v>9</v>
      </c>
      <c r="F60" s="112" t="s">
        <v>239</v>
      </c>
      <c r="G60" s="113" t="s">
        <v>240</v>
      </c>
      <c r="H60" s="105"/>
      <c r="I60" s="106" t="s">
        <v>3</v>
      </c>
      <c r="J60" s="61" t="s">
        <v>119</v>
      </c>
      <c r="K60" s="11">
        <f>IF(I60&lt;&gt;"",(VLOOKUP($C$3,'CRONOGRAMAS 2026'!$L$3:$M$14,2,FALSE)),"")</f>
        <v>46210</v>
      </c>
      <c r="L60" s="11" t="str">
        <f>IFERROR(VLOOKUP(CONCATENATE("2026",TEXT(MONTH($C$3),"00"),"-",$E60),'CRONOGRAMAS 2026'!F:I,4,FALSE),"")</f>
        <v>21/07/2026</v>
      </c>
      <c r="M60" s="153">
        <f>+(IFERROR(VLOOKUP(CONCATENATE("2026",TEXT(MONTH($C$3),"00"),"-", $E60),'CRONOGRAMAS 2026'!A:D,4,FALSE),""))</f>
        <v>46225</v>
      </c>
      <c r="N60">
        <v>1000</v>
      </c>
    </row>
    <row r="61" spans="1:14" ht="15" thickBot="1" x14ac:dyDescent="0.35">
      <c r="A61" s="131">
        <f t="shared" si="0"/>
        <v>53</v>
      </c>
      <c r="B61" s="205" t="s">
        <v>241</v>
      </c>
      <c r="C61" s="206">
        <v>20542244519</v>
      </c>
      <c r="D61" s="207" t="s">
        <v>25</v>
      </c>
      <c r="E61" s="208" t="str">
        <f t="shared" si="3"/>
        <v>9</v>
      </c>
      <c r="F61" s="209" t="s">
        <v>242</v>
      </c>
      <c r="G61" s="210" t="s">
        <v>243</v>
      </c>
      <c r="H61" s="211"/>
      <c r="I61" s="212" t="s">
        <v>3</v>
      </c>
      <c r="J61" s="30" t="s">
        <v>119</v>
      </c>
      <c r="K61" s="162">
        <f>IF(I61&lt;&gt;"",(VLOOKUP($C$3,'CRONOGRAMAS 2026'!$L$3:$M$14,2,FALSE)),"")</f>
        <v>46210</v>
      </c>
      <c r="L61" s="162" t="str">
        <f>IFERROR(VLOOKUP(CONCATENATE("2026",TEXT(MONTH($C$3),"00"),"-",$E61),'CRONOGRAMAS 2026'!F:I,4,FALSE),"")</f>
        <v>21/07/2026</v>
      </c>
      <c r="M61" s="163">
        <f>+(IFERROR(VLOOKUP(CONCATENATE("2026",TEXT(MONTH($C$3),"00"),"-", $E61),'CRONOGRAMAS 2026'!A:D,4,FALSE),""))</f>
        <v>46225</v>
      </c>
      <c r="N61">
        <v>700</v>
      </c>
    </row>
    <row r="71" spans="14:21" x14ac:dyDescent="0.3">
      <c r="N71" s="122">
        <f>SUM(N9:N70)</f>
        <v>8960</v>
      </c>
      <c r="Q71" s="123" t="s">
        <v>245</v>
      </c>
      <c r="T71" s="123" t="s">
        <v>246</v>
      </c>
      <c r="U71" s="124">
        <f>N71</f>
        <v>8960</v>
      </c>
    </row>
    <row r="72" spans="14:21" x14ac:dyDescent="0.3">
      <c r="Q72" s="125"/>
    </row>
    <row r="73" spans="14:21" x14ac:dyDescent="0.3">
      <c r="Q73" t="s">
        <v>247</v>
      </c>
      <c r="R73">
        <v>400</v>
      </c>
      <c r="T73" t="s">
        <v>248</v>
      </c>
      <c r="U73">
        <f>R79</f>
        <v>1052</v>
      </c>
    </row>
    <row r="74" spans="14:21" ht="15" thickBot="1" x14ac:dyDescent="0.35">
      <c r="Q74" t="s">
        <v>249</v>
      </c>
      <c r="R74">
        <v>50</v>
      </c>
      <c r="T74" s="126" t="s">
        <v>250</v>
      </c>
      <c r="U74" s="127">
        <f>U71-U73</f>
        <v>7908</v>
      </c>
    </row>
    <row r="75" spans="14:21" ht="15" thickTop="1" x14ac:dyDescent="0.3">
      <c r="Q75" t="s">
        <v>251</v>
      </c>
      <c r="R75">
        <v>150</v>
      </c>
      <c r="T75" t="s">
        <v>252</v>
      </c>
      <c r="U75">
        <v>650</v>
      </c>
    </row>
    <row r="76" spans="14:21" x14ac:dyDescent="0.3">
      <c r="Q76" t="s">
        <v>253</v>
      </c>
      <c r="R76">
        <v>102</v>
      </c>
      <c r="T76" t="s">
        <v>254</v>
      </c>
      <c r="U76">
        <v>500</v>
      </c>
    </row>
    <row r="77" spans="14:21" x14ac:dyDescent="0.3">
      <c r="Q77" t="s">
        <v>255</v>
      </c>
      <c r="R77">
        <v>100</v>
      </c>
      <c r="T77" t="s">
        <v>256</v>
      </c>
      <c r="U77">
        <v>250</v>
      </c>
    </row>
    <row r="78" spans="14:21" x14ac:dyDescent="0.3">
      <c r="Q78" t="s">
        <v>257</v>
      </c>
      <c r="R78">
        <v>250</v>
      </c>
      <c r="T78" t="s">
        <v>258</v>
      </c>
      <c r="U78">
        <v>600</v>
      </c>
    </row>
    <row r="79" spans="14:21" ht="15" thickBot="1" x14ac:dyDescent="0.35">
      <c r="Q79" s="126" t="s">
        <v>259</v>
      </c>
      <c r="R79" s="126">
        <f>SUM(R73:R78)</f>
        <v>1052</v>
      </c>
      <c r="T79" s="126" t="s">
        <v>260</v>
      </c>
      <c r="U79" s="127">
        <f>SUM(U75:U78)</f>
        <v>2000</v>
      </c>
    </row>
    <row r="80" spans="14:21" ht="15" thickTop="1" x14ac:dyDescent="0.3"/>
    <row r="81" spans="20:21" ht="15" thickBot="1" x14ac:dyDescent="0.35">
      <c r="T81" s="128"/>
      <c r="U81" s="127">
        <f>U74-U79</f>
        <v>5908</v>
      </c>
    </row>
    <row r="82" spans="20:21" ht="15" thickTop="1" x14ac:dyDescent="0.3">
      <c r="T82" t="s">
        <v>261</v>
      </c>
      <c r="U82">
        <v>600</v>
      </c>
    </row>
    <row r="83" spans="20:21" x14ac:dyDescent="0.3">
      <c r="T83" t="s">
        <v>262</v>
      </c>
      <c r="U83">
        <v>2100</v>
      </c>
    </row>
    <row r="84" spans="20:21" ht="15" thickBot="1" x14ac:dyDescent="0.35">
      <c r="T84" s="129" t="s">
        <v>263</v>
      </c>
      <c r="U84" s="130">
        <f>U81-U83-U82</f>
        <v>3208</v>
      </c>
    </row>
  </sheetData>
  <sortState xmlns:xlrd2="http://schemas.microsoft.com/office/spreadsheetml/2017/richdata2" ref="B9:M30">
    <sortCondition ref="E18"/>
  </sortState>
  <mergeCells count="8">
    <mergeCell ref="B1:M1"/>
    <mergeCell ref="B6:E7"/>
    <mergeCell ref="K7:K8"/>
    <mergeCell ref="M7:M8"/>
    <mergeCell ref="F6:J6"/>
    <mergeCell ref="K6:M6"/>
    <mergeCell ref="I7:J7"/>
    <mergeCell ref="F7:H7"/>
  </mergeCells>
  <phoneticPr fontId="1" type="noConversion"/>
  <dataValidations count="2">
    <dataValidation type="list" allowBlank="1" showInputMessage="1" showErrorMessage="1" sqref="C3" xr:uid="{9F0B5686-94D9-43B0-B156-DA7653632F53}">
      <formula1>"Ene-2026, Feb-2026, Mar-2026, Abr-2026, May-2026, Jun-2026, Jul-2026, Ago-2026, Set-2026, Oct-2026, Nov-2026, Dic-2026"</formula1>
    </dataValidation>
    <dataValidation type="list" allowBlank="1" showInputMessage="1" showErrorMessage="1" sqref="D9:D61" xr:uid="{AF2799BA-1EF6-4926-9259-B002F8373809}">
      <formula1>"General, RER, Nuevo Rus, Mype Tributario"</formula1>
    </dataValidation>
  </dataValidations>
  <hyperlinks>
    <hyperlink ref="G45" r:id="rId1" xr:uid="{5652B462-A2C3-4D7A-BA30-CF2B97B002CC}"/>
    <hyperlink ref="G41" r:id="rId2" xr:uid="{A57EC3CE-17FD-477E-8F43-B97908A2E4E2}"/>
    <hyperlink ref="J61" r:id="rId3" xr:uid="{63911C79-95E9-4BB5-8F91-F02E7DB5F715}"/>
    <hyperlink ref="J45" r:id="rId4" xr:uid="{765132AB-5528-4997-81C3-0E08F6FAAE6A}"/>
    <hyperlink ref="J13" r:id="rId5" xr:uid="{825230F5-3531-4088-A377-119F375B2FB8}"/>
    <hyperlink ref="J46" r:id="rId6" xr:uid="{9036F3F1-579A-4974-A65A-AF957AB6C3BC}"/>
    <hyperlink ref="J49" r:id="rId7" xr:uid="{D9B92EE6-3E48-4623-ACC2-55CF7C2A1041}"/>
    <hyperlink ref="J51" r:id="rId8" xr:uid="{4D371EC6-B0AE-41BD-91D4-EED085300395}"/>
    <hyperlink ref="J60" r:id="rId9" xr:uid="{C13F8037-E153-459D-A9AD-09EF14AF453F}"/>
    <hyperlink ref="J9" r:id="rId10" xr:uid="{7BD2E260-4FB9-4607-AB7D-E6C35F2127CD}"/>
    <hyperlink ref="J18" r:id="rId11" xr:uid="{21B0F8F8-7A1D-4798-9E29-01B70618B686}"/>
    <hyperlink ref="J41" r:id="rId12" xr:uid="{AF087F16-4467-4E22-818F-AD3778C331AC}"/>
    <hyperlink ref="J40" r:id="rId13" xr:uid="{563240B8-EEFC-4D3D-80D3-0C8DC76D142E}"/>
    <hyperlink ref="J14" r:id="rId14" xr:uid="{6246E3E9-3883-480D-ADF4-A41FCF3E6C00}"/>
    <hyperlink ref="J26" r:id="rId15" xr:uid="{D11B5206-FB6F-4F6D-88A9-69B3FC2EB359}"/>
    <hyperlink ref="G15" r:id="rId16" xr:uid="{C0BFAD12-E8F2-475E-A49C-FBC66CF0A636}"/>
    <hyperlink ref="G25" r:id="rId17" xr:uid="{0E668629-DE12-42B6-8993-D98281BB51CC}"/>
  </hyperlinks>
  <pageMargins left="0.7" right="0.7" top="0.75" bottom="0.75" header="0.3" footer="0.3"/>
  <pageSetup paperSize="9" orientation="portrait" horizontalDpi="180" verticalDpi="180" r:id="rId1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46F84-BAB9-4EAB-9D0B-C24AE8AB1423}">
  <dimension ref="B8:E10"/>
  <sheetViews>
    <sheetView topLeftCell="A3" zoomScale="132" workbookViewId="0">
      <selection activeCell="B13" sqref="B13"/>
    </sheetView>
  </sheetViews>
  <sheetFormatPr baseColWidth="10" defaultRowHeight="14.4" x14ac:dyDescent="0.3"/>
  <cols>
    <col min="2" max="2" width="35.109375" customWidth="1"/>
    <col min="3" max="3" width="17" style="114" customWidth="1"/>
    <col min="4" max="5" width="11" style="114"/>
  </cols>
  <sheetData>
    <row r="8" spans="2:5" x14ac:dyDescent="0.3">
      <c r="C8" s="234" t="s">
        <v>0</v>
      </c>
      <c r="D8" s="234" t="s">
        <v>264</v>
      </c>
      <c r="E8" s="234" t="s">
        <v>265</v>
      </c>
    </row>
    <row r="9" spans="2:5" x14ac:dyDescent="0.3">
      <c r="B9" s="101" t="s">
        <v>225</v>
      </c>
      <c r="C9" s="229">
        <v>10763376538</v>
      </c>
      <c r="D9" s="229" t="s">
        <v>226</v>
      </c>
      <c r="E9" s="229" t="s">
        <v>227</v>
      </c>
    </row>
    <row r="10" spans="2:5" x14ac:dyDescent="0.3">
      <c r="B10" s="230" t="s">
        <v>220</v>
      </c>
      <c r="C10" s="231">
        <v>20607473847</v>
      </c>
      <c r="D10" s="232" t="s">
        <v>221</v>
      </c>
      <c r="E10" s="233" t="s">
        <v>222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2CEDF-DE98-4221-9223-D15D88F17058}">
  <dimension ref="A4:D5"/>
  <sheetViews>
    <sheetView workbookViewId="0">
      <selection activeCell="C16" sqref="C16"/>
    </sheetView>
  </sheetViews>
  <sheetFormatPr baseColWidth="10" defaultRowHeight="14.4" x14ac:dyDescent="0.3"/>
  <cols>
    <col min="1" max="1" width="17.77734375" customWidth="1"/>
    <col min="2" max="2" width="13.109375" style="114" customWidth="1"/>
    <col min="3" max="4" width="11" style="114"/>
  </cols>
  <sheetData>
    <row r="4" spans="1:4" ht="15" thickBot="1" x14ac:dyDescent="0.35">
      <c r="B4" s="217" t="s">
        <v>0</v>
      </c>
      <c r="C4" s="217" t="s">
        <v>264</v>
      </c>
      <c r="D4" s="217" t="s">
        <v>265</v>
      </c>
    </row>
    <row r="5" spans="1:4" x14ac:dyDescent="0.3">
      <c r="A5" s="216" t="s">
        <v>132</v>
      </c>
      <c r="B5" s="213">
        <v>20613779401</v>
      </c>
      <c r="C5" s="214" t="s">
        <v>133</v>
      </c>
      <c r="D5" s="215" t="s">
        <v>134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A4056-B4E5-4109-B1C5-AEA60F8B5E41}">
  <dimension ref="C15:F16"/>
  <sheetViews>
    <sheetView workbookViewId="0">
      <selection activeCell="D20" sqref="D20"/>
    </sheetView>
  </sheetViews>
  <sheetFormatPr baseColWidth="10" defaultRowHeight="14.4" x14ac:dyDescent="0.3"/>
  <cols>
    <col min="3" max="3" width="50" customWidth="1"/>
    <col min="4" max="4" width="15.21875" customWidth="1"/>
  </cols>
  <sheetData>
    <row r="15" spans="3:6" x14ac:dyDescent="0.3">
      <c r="C15" s="237" t="s">
        <v>17</v>
      </c>
      <c r="D15" s="21" t="s">
        <v>0</v>
      </c>
      <c r="E15" s="17" t="s">
        <v>20</v>
      </c>
      <c r="F15" s="17" t="s">
        <v>21</v>
      </c>
    </row>
    <row r="16" spans="3:6" x14ac:dyDescent="0.3">
      <c r="C16" s="218" t="s">
        <v>266</v>
      </c>
      <c r="D16" s="238">
        <v>20615649491</v>
      </c>
      <c r="E16" s="215">
        <v>43373741</v>
      </c>
      <c r="F16" s="239" t="s">
        <v>267</v>
      </c>
    </row>
  </sheetData>
  <hyperlinks>
    <hyperlink ref="F16" r:id="rId1" xr:uid="{A9EFEF1C-A43C-4E7F-94F2-74E9A0B171AE}"/>
  </hyperlinks>
  <pageMargins left="0.7" right="0.7" top="0.75" bottom="0.75" header="0.3" footer="0.3"/>
  <pageSetup orientation="portrait" horizontalDpi="360" verticalDpi="36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M152"/>
  <sheetViews>
    <sheetView zoomScaleNormal="100" workbookViewId="0">
      <pane ySplit="2" topLeftCell="A3" activePane="bottomLeft" state="frozen"/>
      <selection pane="bottomLeft" activeCell="C2" sqref="C2"/>
    </sheetView>
  </sheetViews>
  <sheetFormatPr baseColWidth="10" defaultRowHeight="14.4" x14ac:dyDescent="0.3"/>
  <cols>
    <col min="2" max="2" width="15.44140625" customWidth="1"/>
    <col min="3" max="3" width="15.6640625" customWidth="1"/>
    <col min="4" max="4" width="24.33203125" customWidth="1"/>
    <col min="7" max="7" width="13.44140625" customWidth="1"/>
    <col min="8" max="8" width="19.6640625" style="4" customWidth="1"/>
    <col min="9" max="9" width="28.44140625" customWidth="1"/>
    <col min="13" max="13" width="13.33203125" customWidth="1"/>
  </cols>
  <sheetData>
    <row r="1" spans="1:13" ht="15" customHeight="1" x14ac:dyDescent="0.3">
      <c r="A1" s="266" t="s">
        <v>8</v>
      </c>
      <c r="B1" s="268"/>
      <c r="C1" s="268"/>
      <c r="D1" s="267"/>
      <c r="F1" s="266" t="s">
        <v>29</v>
      </c>
      <c r="G1" s="268"/>
      <c r="H1" s="268"/>
      <c r="I1" s="267"/>
      <c r="L1" s="266" t="s">
        <v>1</v>
      </c>
      <c r="M1" s="267"/>
    </row>
    <row r="2" spans="1:13" ht="39.15" customHeight="1" x14ac:dyDescent="0.3">
      <c r="A2" s="7" t="s">
        <v>23</v>
      </c>
      <c r="B2" s="7" t="s">
        <v>6</v>
      </c>
      <c r="C2" s="7" t="s">
        <v>5</v>
      </c>
      <c r="D2" s="7" t="s">
        <v>7</v>
      </c>
      <c r="F2" s="7" t="s">
        <v>23</v>
      </c>
      <c r="G2" s="7" t="s">
        <v>6</v>
      </c>
      <c r="H2" s="7" t="s">
        <v>5</v>
      </c>
      <c r="I2" s="7" t="s">
        <v>7</v>
      </c>
      <c r="L2" s="7" t="s">
        <v>5</v>
      </c>
      <c r="M2" s="7" t="s">
        <v>9</v>
      </c>
    </row>
    <row r="3" spans="1:13" x14ac:dyDescent="0.3">
      <c r="A3" s="6" t="str">
        <f>CONCATENATE("2026",TEXT(MONTH(C3),"00"),"-",B3)</f>
        <v>202601-0</v>
      </c>
      <c r="B3" s="3">
        <v>0</v>
      </c>
      <c r="C3" s="2">
        <v>46023</v>
      </c>
      <c r="D3" s="8">
        <v>46069</v>
      </c>
      <c r="F3" s="6" t="str">
        <f>CONCATENATE(YEAR(I3-30),TEXT(MONTH(I3-30),"00"), "-",G3)</f>
        <v>202601-0</v>
      </c>
      <c r="G3" s="3">
        <v>0</v>
      </c>
      <c r="H3" s="2">
        <v>46023</v>
      </c>
      <c r="I3" s="8" t="s">
        <v>31</v>
      </c>
      <c r="L3" s="9">
        <v>46023</v>
      </c>
      <c r="M3" s="10">
        <v>46059</v>
      </c>
    </row>
    <row r="4" spans="1:13" x14ac:dyDescent="0.3">
      <c r="A4" s="6" t="str">
        <f>CONCATENATE("2026",TEXT(MONTH(C4),"00"),"-",B4)</f>
        <v>202602-0</v>
      </c>
      <c r="B4" s="3">
        <v>0</v>
      </c>
      <c r="C4" s="2">
        <v>46054</v>
      </c>
      <c r="D4" s="8">
        <v>46097</v>
      </c>
      <c r="F4" s="6" t="str">
        <f t="shared" ref="F4:F67" si="0">CONCATENATE(YEAR(I4-30),TEXT(MONTH(I4-30),"00"), "-",G4)</f>
        <v>202602-0</v>
      </c>
      <c r="G4" s="3">
        <v>0</v>
      </c>
      <c r="H4" s="2">
        <v>46054</v>
      </c>
      <c r="I4" s="8" t="s">
        <v>32</v>
      </c>
      <c r="L4" s="9">
        <v>46054</v>
      </c>
      <c r="M4" s="22">
        <v>46087</v>
      </c>
    </row>
    <row r="5" spans="1:13" x14ac:dyDescent="0.3">
      <c r="A5" s="6" t="str">
        <f>CONCATENATE("2026",TEXT(MONTH(C5),"00"),"-",B5)</f>
        <v>202603-0</v>
      </c>
      <c r="B5" s="3">
        <v>0</v>
      </c>
      <c r="C5" s="2">
        <v>46082</v>
      </c>
      <c r="D5" s="8">
        <v>46129</v>
      </c>
      <c r="F5" s="6" t="str">
        <f t="shared" si="0"/>
        <v>202603-0</v>
      </c>
      <c r="G5" s="3">
        <v>0</v>
      </c>
      <c r="H5" s="2">
        <v>46082</v>
      </c>
      <c r="I5" s="8" t="s">
        <v>33</v>
      </c>
      <c r="L5" s="9">
        <v>46082</v>
      </c>
      <c r="M5" s="10">
        <v>46119</v>
      </c>
    </row>
    <row r="6" spans="1:13" x14ac:dyDescent="0.3">
      <c r="A6" s="6" t="str">
        <f t="shared" ref="A6:A69" si="1">CONCATENATE("2026",TEXT(MONTH(C6),"00"),"-",B6)</f>
        <v>202604-0</v>
      </c>
      <c r="B6" s="3">
        <v>0</v>
      </c>
      <c r="C6" s="2">
        <v>46113</v>
      </c>
      <c r="D6" s="8">
        <v>46160</v>
      </c>
      <c r="F6" s="6" t="str">
        <f t="shared" si="0"/>
        <v>202604-0</v>
      </c>
      <c r="G6" s="3">
        <v>0</v>
      </c>
      <c r="H6" s="2">
        <v>46113</v>
      </c>
      <c r="I6" s="8" t="s">
        <v>34</v>
      </c>
      <c r="L6" s="9">
        <v>46113</v>
      </c>
      <c r="M6" s="10">
        <v>46149</v>
      </c>
    </row>
    <row r="7" spans="1:13" x14ac:dyDescent="0.3">
      <c r="A7" s="6" t="str">
        <f t="shared" si="1"/>
        <v>202605-0</v>
      </c>
      <c r="B7" s="3">
        <v>0</v>
      </c>
      <c r="C7" s="2">
        <v>46143</v>
      </c>
      <c r="D7" s="8">
        <v>46188</v>
      </c>
      <c r="F7" s="6" t="str">
        <f t="shared" si="0"/>
        <v>202605-0</v>
      </c>
      <c r="G7" s="3">
        <v>0</v>
      </c>
      <c r="H7" s="2">
        <v>46143</v>
      </c>
      <c r="I7" s="8" t="s">
        <v>35</v>
      </c>
      <c r="L7" s="9">
        <v>46143</v>
      </c>
      <c r="M7" s="10">
        <v>46178</v>
      </c>
    </row>
    <row r="8" spans="1:13" x14ac:dyDescent="0.3">
      <c r="A8" s="6" t="str">
        <f t="shared" si="1"/>
        <v>202606-0</v>
      </c>
      <c r="B8" s="3">
        <v>0</v>
      </c>
      <c r="C8" s="2">
        <v>46174</v>
      </c>
      <c r="D8" s="8">
        <v>46218</v>
      </c>
      <c r="F8" s="6" t="str">
        <f t="shared" si="0"/>
        <v>202606-0</v>
      </c>
      <c r="G8" s="3">
        <v>0</v>
      </c>
      <c r="H8" s="2">
        <v>46174</v>
      </c>
      <c r="I8" s="8" t="s">
        <v>36</v>
      </c>
      <c r="L8" s="9">
        <v>46174</v>
      </c>
      <c r="M8" s="10">
        <v>46210</v>
      </c>
    </row>
    <row r="9" spans="1:13" x14ac:dyDescent="0.3">
      <c r="A9" s="6" t="str">
        <f t="shared" si="1"/>
        <v>202607-0</v>
      </c>
      <c r="B9" s="3">
        <v>0</v>
      </c>
      <c r="C9" s="2">
        <v>46204</v>
      </c>
      <c r="D9" s="8">
        <v>46252</v>
      </c>
      <c r="F9" s="6" t="str">
        <f t="shared" si="0"/>
        <v>202607-0</v>
      </c>
      <c r="G9" s="3">
        <v>0</v>
      </c>
      <c r="H9" s="2">
        <v>46204</v>
      </c>
      <c r="I9" s="8" t="s">
        <v>37</v>
      </c>
      <c r="L9" s="9">
        <v>46204</v>
      </c>
      <c r="M9" s="10">
        <v>46241</v>
      </c>
    </row>
    <row r="10" spans="1:13" x14ac:dyDescent="0.3">
      <c r="A10" s="6" t="str">
        <f t="shared" si="1"/>
        <v>202608-0</v>
      </c>
      <c r="B10" s="3">
        <v>0</v>
      </c>
      <c r="C10" s="2">
        <v>46235</v>
      </c>
      <c r="D10" s="8">
        <v>46280</v>
      </c>
      <c r="F10" s="6" t="str">
        <f t="shared" si="0"/>
        <v>202608-0</v>
      </c>
      <c r="G10" s="3">
        <v>0</v>
      </c>
      <c r="H10" s="2">
        <v>46235</v>
      </c>
      <c r="I10" s="8" t="s">
        <v>38</v>
      </c>
      <c r="L10" s="9">
        <v>46235</v>
      </c>
      <c r="M10" s="10">
        <v>46272</v>
      </c>
    </row>
    <row r="11" spans="1:13" x14ac:dyDescent="0.3">
      <c r="A11" s="6" t="str">
        <f t="shared" si="1"/>
        <v>202609-0</v>
      </c>
      <c r="B11" s="3">
        <v>0</v>
      </c>
      <c r="C11" s="2">
        <v>46266</v>
      </c>
      <c r="D11" s="8">
        <v>46311</v>
      </c>
      <c r="F11" s="6" t="str">
        <f t="shared" si="0"/>
        <v>202609-0</v>
      </c>
      <c r="G11" s="3">
        <v>0</v>
      </c>
      <c r="H11" s="2">
        <v>46266</v>
      </c>
      <c r="I11" s="8" t="s">
        <v>39</v>
      </c>
      <c r="L11" s="9">
        <v>46266</v>
      </c>
      <c r="M11" s="10">
        <v>46302</v>
      </c>
    </row>
    <row r="12" spans="1:13" x14ac:dyDescent="0.3">
      <c r="A12" s="6" t="str">
        <f t="shared" si="1"/>
        <v>202610-0</v>
      </c>
      <c r="B12" s="3">
        <v>0</v>
      </c>
      <c r="C12" s="2">
        <v>46296</v>
      </c>
      <c r="D12" s="8">
        <v>46342</v>
      </c>
      <c r="F12" s="6" t="str">
        <f t="shared" si="0"/>
        <v>202610-0</v>
      </c>
      <c r="G12" s="3">
        <v>0</v>
      </c>
      <c r="H12" s="2">
        <v>46296</v>
      </c>
      <c r="I12" s="8" t="s">
        <v>40</v>
      </c>
      <c r="L12" s="9">
        <v>46296</v>
      </c>
      <c r="M12" s="10">
        <v>46332</v>
      </c>
    </row>
    <row r="13" spans="1:13" x14ac:dyDescent="0.3">
      <c r="A13" s="6" t="str">
        <f t="shared" si="1"/>
        <v>202611-0</v>
      </c>
      <c r="B13" s="3">
        <v>0</v>
      </c>
      <c r="C13" s="2">
        <v>46327</v>
      </c>
      <c r="D13" s="8">
        <v>46373</v>
      </c>
      <c r="F13" s="6" t="str">
        <f t="shared" si="0"/>
        <v>202611-0</v>
      </c>
      <c r="G13" s="3">
        <v>0</v>
      </c>
      <c r="H13" s="2">
        <v>46327</v>
      </c>
      <c r="I13" s="8" t="s">
        <v>41</v>
      </c>
      <c r="L13" s="9">
        <v>46327</v>
      </c>
      <c r="M13" s="10">
        <v>46363</v>
      </c>
    </row>
    <row r="14" spans="1:13" x14ac:dyDescent="0.3">
      <c r="A14" s="6" t="str">
        <f t="shared" si="1"/>
        <v>202612-0</v>
      </c>
      <c r="B14" s="3">
        <v>0</v>
      </c>
      <c r="C14" s="2">
        <v>46357</v>
      </c>
      <c r="D14" s="8">
        <v>46405</v>
      </c>
      <c r="F14" s="6" t="str">
        <f t="shared" si="0"/>
        <v>202612-0</v>
      </c>
      <c r="G14" s="3">
        <v>0</v>
      </c>
      <c r="H14" s="2">
        <v>46357</v>
      </c>
      <c r="I14" s="8" t="s">
        <v>42</v>
      </c>
      <c r="L14" s="9">
        <v>46357</v>
      </c>
      <c r="M14" s="10">
        <v>46395</v>
      </c>
    </row>
    <row r="15" spans="1:13" x14ac:dyDescent="0.3">
      <c r="A15" s="6" t="str">
        <f t="shared" si="1"/>
        <v>202601-1</v>
      </c>
      <c r="B15" s="3">
        <v>1</v>
      </c>
      <c r="C15" s="2">
        <v>46023</v>
      </c>
      <c r="D15" s="8">
        <v>46070</v>
      </c>
      <c r="F15" s="6" t="str">
        <f t="shared" si="0"/>
        <v>202601-1</v>
      </c>
      <c r="G15" s="3">
        <v>1</v>
      </c>
      <c r="H15" s="2">
        <v>46023</v>
      </c>
      <c r="I15" s="8" t="s">
        <v>43</v>
      </c>
    </row>
    <row r="16" spans="1:13" x14ac:dyDescent="0.3">
      <c r="A16" s="6" t="str">
        <f t="shared" si="1"/>
        <v>202602-1</v>
      </c>
      <c r="B16" s="3">
        <v>1</v>
      </c>
      <c r="C16" s="2">
        <v>46054</v>
      </c>
      <c r="D16" s="8">
        <v>46098</v>
      </c>
      <c r="F16" s="6" t="str">
        <f t="shared" si="0"/>
        <v>202602-1</v>
      </c>
      <c r="G16" s="3">
        <v>1</v>
      </c>
      <c r="H16" s="2">
        <v>46054</v>
      </c>
      <c r="I16" s="8" t="s">
        <v>44</v>
      </c>
    </row>
    <row r="17" spans="1:9" x14ac:dyDescent="0.3">
      <c r="A17" s="6" t="str">
        <f t="shared" si="1"/>
        <v>202603-1</v>
      </c>
      <c r="B17" s="3">
        <v>1</v>
      </c>
      <c r="C17" s="2">
        <v>46082</v>
      </c>
      <c r="D17" s="8">
        <v>46132</v>
      </c>
      <c r="F17" s="6" t="str">
        <f t="shared" si="0"/>
        <v>202603-1</v>
      </c>
      <c r="G17" s="3">
        <v>1</v>
      </c>
      <c r="H17" s="2">
        <v>46082</v>
      </c>
      <c r="I17" s="8" t="s">
        <v>45</v>
      </c>
    </row>
    <row r="18" spans="1:9" x14ac:dyDescent="0.3">
      <c r="A18" s="6" t="str">
        <f t="shared" si="1"/>
        <v>202604-1</v>
      </c>
      <c r="B18" s="3">
        <v>1</v>
      </c>
      <c r="C18" s="2">
        <v>46113</v>
      </c>
      <c r="D18" s="8">
        <v>46161</v>
      </c>
      <c r="F18" s="6" t="str">
        <f t="shared" si="0"/>
        <v>202604-1</v>
      </c>
      <c r="G18" s="3">
        <v>1</v>
      </c>
      <c r="H18" s="2">
        <v>46113</v>
      </c>
      <c r="I18" s="8" t="s">
        <v>46</v>
      </c>
    </row>
    <row r="19" spans="1:9" x14ac:dyDescent="0.3">
      <c r="A19" s="6" t="str">
        <f t="shared" si="1"/>
        <v>202605-1</v>
      </c>
      <c r="B19" s="3">
        <v>1</v>
      </c>
      <c r="C19" s="2">
        <v>46143</v>
      </c>
      <c r="D19" s="8">
        <v>46189</v>
      </c>
      <c r="F19" s="6" t="str">
        <f t="shared" si="0"/>
        <v>202605-1</v>
      </c>
      <c r="G19" s="3">
        <v>1</v>
      </c>
      <c r="H19" s="2">
        <v>46143</v>
      </c>
      <c r="I19" s="8" t="s">
        <v>47</v>
      </c>
    </row>
    <row r="20" spans="1:9" x14ac:dyDescent="0.3">
      <c r="A20" s="6" t="str">
        <f t="shared" si="1"/>
        <v>202606-1</v>
      </c>
      <c r="B20" s="3">
        <v>1</v>
      </c>
      <c r="C20" s="2">
        <v>46174</v>
      </c>
      <c r="D20" s="8">
        <v>46219</v>
      </c>
      <c r="F20" s="6" t="str">
        <f t="shared" si="0"/>
        <v>202606-1</v>
      </c>
      <c r="G20" s="3">
        <v>1</v>
      </c>
      <c r="H20" s="2">
        <v>46174</v>
      </c>
      <c r="I20" s="8" t="s">
        <v>48</v>
      </c>
    </row>
    <row r="21" spans="1:9" x14ac:dyDescent="0.3">
      <c r="A21" s="6" t="str">
        <f t="shared" si="1"/>
        <v>202607-1</v>
      </c>
      <c r="B21" s="3">
        <v>1</v>
      </c>
      <c r="C21" s="2">
        <v>46204</v>
      </c>
      <c r="D21" s="8">
        <v>46253</v>
      </c>
      <c r="F21" s="6" t="str">
        <f t="shared" si="0"/>
        <v>202607-1</v>
      </c>
      <c r="G21" s="3">
        <v>1</v>
      </c>
      <c r="H21" s="2">
        <v>46204</v>
      </c>
      <c r="I21" s="8" t="s">
        <v>49</v>
      </c>
    </row>
    <row r="22" spans="1:9" x14ac:dyDescent="0.3">
      <c r="A22" s="6" t="str">
        <f t="shared" si="1"/>
        <v>202608-1</v>
      </c>
      <c r="B22" s="3">
        <v>1</v>
      </c>
      <c r="C22" s="2">
        <v>46235</v>
      </c>
      <c r="D22" s="8">
        <v>46281</v>
      </c>
      <c r="F22" s="6" t="str">
        <f t="shared" si="0"/>
        <v>202608-1</v>
      </c>
      <c r="G22" s="3">
        <v>1</v>
      </c>
      <c r="H22" s="2">
        <v>46235</v>
      </c>
      <c r="I22" s="8" t="s">
        <v>50</v>
      </c>
    </row>
    <row r="23" spans="1:9" x14ac:dyDescent="0.3">
      <c r="A23" s="6" t="str">
        <f t="shared" si="1"/>
        <v>202609-1</v>
      </c>
      <c r="B23" s="3">
        <v>1</v>
      </c>
      <c r="C23" s="2">
        <v>46266</v>
      </c>
      <c r="D23" s="8">
        <v>46314</v>
      </c>
      <c r="F23" s="6" t="str">
        <f t="shared" si="0"/>
        <v>202609-1</v>
      </c>
      <c r="G23" s="3">
        <v>1</v>
      </c>
      <c r="H23" s="2">
        <v>46266</v>
      </c>
      <c r="I23" s="8" t="s">
        <v>51</v>
      </c>
    </row>
    <row r="24" spans="1:9" x14ac:dyDescent="0.3">
      <c r="A24" s="6" t="str">
        <f t="shared" si="1"/>
        <v>202610-1</v>
      </c>
      <c r="B24" s="3">
        <v>1</v>
      </c>
      <c r="C24" s="2">
        <v>46296</v>
      </c>
      <c r="D24" s="8">
        <v>46343</v>
      </c>
      <c r="F24" s="6" t="str">
        <f t="shared" si="0"/>
        <v>202610-1</v>
      </c>
      <c r="G24" s="3">
        <v>1</v>
      </c>
      <c r="H24" s="2">
        <v>46296</v>
      </c>
      <c r="I24" s="8" t="s">
        <v>52</v>
      </c>
    </row>
    <row r="25" spans="1:9" x14ac:dyDescent="0.3">
      <c r="A25" s="6" t="str">
        <f t="shared" si="1"/>
        <v>202611-1</v>
      </c>
      <c r="B25" s="3">
        <v>1</v>
      </c>
      <c r="C25" s="2">
        <v>46327</v>
      </c>
      <c r="D25" s="8">
        <v>46374</v>
      </c>
      <c r="F25" s="6" t="str">
        <f t="shared" si="0"/>
        <v>202611-1</v>
      </c>
      <c r="G25" s="3">
        <v>1</v>
      </c>
      <c r="H25" s="2">
        <v>46327</v>
      </c>
      <c r="I25" s="8" t="s">
        <v>53</v>
      </c>
    </row>
    <row r="26" spans="1:9" x14ac:dyDescent="0.3">
      <c r="A26" s="6" t="str">
        <f t="shared" si="1"/>
        <v>202612-1</v>
      </c>
      <c r="B26" s="3">
        <v>1</v>
      </c>
      <c r="C26" s="2">
        <v>46357</v>
      </c>
      <c r="D26" s="8">
        <v>46406</v>
      </c>
      <c r="F26" s="6" t="str">
        <f t="shared" si="0"/>
        <v>202612-1</v>
      </c>
      <c r="G26" s="3">
        <v>1</v>
      </c>
      <c r="H26" s="2">
        <v>46357</v>
      </c>
      <c r="I26" s="8" t="s">
        <v>54</v>
      </c>
    </row>
    <row r="27" spans="1:9" x14ac:dyDescent="0.3">
      <c r="A27" s="6" t="str">
        <f t="shared" si="1"/>
        <v>202601-2</v>
      </c>
      <c r="B27" s="3">
        <v>2</v>
      </c>
      <c r="C27" s="2">
        <v>46023</v>
      </c>
      <c r="D27" s="8">
        <v>46071</v>
      </c>
      <c r="F27" s="6" t="str">
        <f t="shared" si="0"/>
        <v>202601-2</v>
      </c>
      <c r="G27" s="3">
        <v>2</v>
      </c>
      <c r="H27" s="2">
        <v>46023</v>
      </c>
      <c r="I27" s="8" t="s">
        <v>55</v>
      </c>
    </row>
    <row r="28" spans="1:9" x14ac:dyDescent="0.3">
      <c r="A28" s="6" t="str">
        <f t="shared" si="1"/>
        <v>202602-2</v>
      </c>
      <c r="B28" s="3">
        <v>2</v>
      </c>
      <c r="C28" s="2">
        <v>46054</v>
      </c>
      <c r="D28" s="8">
        <v>46099</v>
      </c>
      <c r="F28" s="6" t="str">
        <f t="shared" si="0"/>
        <v>202602-2</v>
      </c>
      <c r="G28" s="3">
        <v>2</v>
      </c>
      <c r="H28" s="2">
        <v>46054</v>
      </c>
      <c r="I28" s="8" t="s">
        <v>56</v>
      </c>
    </row>
    <row r="29" spans="1:9" x14ac:dyDescent="0.3">
      <c r="A29" s="6" t="str">
        <f t="shared" si="1"/>
        <v>202603-2</v>
      </c>
      <c r="B29" s="3">
        <v>2</v>
      </c>
      <c r="C29" s="2">
        <v>46082</v>
      </c>
      <c r="D29" s="8">
        <v>46133</v>
      </c>
      <c r="F29" s="6" t="str">
        <f t="shared" si="0"/>
        <v>202603-2</v>
      </c>
      <c r="G29" s="3">
        <v>2</v>
      </c>
      <c r="H29" s="2">
        <v>46082</v>
      </c>
      <c r="I29" s="8" t="s">
        <v>57</v>
      </c>
    </row>
    <row r="30" spans="1:9" x14ac:dyDescent="0.3">
      <c r="A30" s="6" t="str">
        <f t="shared" si="1"/>
        <v>202604-2</v>
      </c>
      <c r="B30" s="3">
        <v>2</v>
      </c>
      <c r="C30" s="2">
        <v>46113</v>
      </c>
      <c r="D30" s="8">
        <v>46162</v>
      </c>
      <c r="F30" s="6" t="str">
        <f t="shared" si="0"/>
        <v>202604-2</v>
      </c>
      <c r="G30" s="3">
        <v>2</v>
      </c>
      <c r="H30" s="2">
        <v>46113</v>
      </c>
      <c r="I30" s="8" t="s">
        <v>58</v>
      </c>
    </row>
    <row r="31" spans="1:9" x14ac:dyDescent="0.3">
      <c r="A31" s="6" t="str">
        <f t="shared" si="1"/>
        <v>202605-2</v>
      </c>
      <c r="B31" s="3">
        <v>2</v>
      </c>
      <c r="C31" s="2">
        <v>46143</v>
      </c>
      <c r="D31" s="8">
        <v>46190</v>
      </c>
      <c r="F31" s="6" t="str">
        <f t="shared" si="0"/>
        <v>202605-2</v>
      </c>
      <c r="G31" s="3">
        <v>2</v>
      </c>
      <c r="H31" s="2">
        <v>46143</v>
      </c>
      <c r="I31" s="8" t="s">
        <v>59</v>
      </c>
    </row>
    <row r="32" spans="1:9" x14ac:dyDescent="0.3">
      <c r="A32" s="6" t="str">
        <f t="shared" si="1"/>
        <v>202606-2</v>
      </c>
      <c r="B32" s="3">
        <v>2</v>
      </c>
      <c r="C32" s="2">
        <v>46174</v>
      </c>
      <c r="D32" s="8">
        <v>46220</v>
      </c>
      <c r="F32" s="6" t="str">
        <f t="shared" si="0"/>
        <v>202606-2</v>
      </c>
      <c r="G32" s="3">
        <v>2</v>
      </c>
      <c r="H32" s="2">
        <v>46174</v>
      </c>
      <c r="I32" s="8" t="s">
        <v>60</v>
      </c>
    </row>
    <row r="33" spans="1:9" x14ac:dyDescent="0.3">
      <c r="A33" s="6" t="str">
        <f t="shared" si="1"/>
        <v>202607-2</v>
      </c>
      <c r="B33" s="3">
        <v>2</v>
      </c>
      <c r="C33" s="2">
        <v>46204</v>
      </c>
      <c r="D33" s="8">
        <v>46254</v>
      </c>
      <c r="F33" s="6" t="str">
        <f t="shared" si="0"/>
        <v>202607-2</v>
      </c>
      <c r="G33" s="3">
        <v>2</v>
      </c>
      <c r="H33" s="2">
        <v>46204</v>
      </c>
      <c r="I33" s="8" t="s">
        <v>61</v>
      </c>
    </row>
    <row r="34" spans="1:9" x14ac:dyDescent="0.3">
      <c r="A34" s="6" t="str">
        <f t="shared" si="1"/>
        <v>202608-2</v>
      </c>
      <c r="B34" s="3">
        <v>2</v>
      </c>
      <c r="C34" s="2">
        <v>46235</v>
      </c>
      <c r="D34" s="8">
        <v>46282</v>
      </c>
      <c r="F34" s="6" t="str">
        <f t="shared" si="0"/>
        <v>202608-2</v>
      </c>
      <c r="G34" s="3">
        <v>2</v>
      </c>
      <c r="H34" s="2">
        <v>46235</v>
      </c>
      <c r="I34" s="8" t="s">
        <v>62</v>
      </c>
    </row>
    <row r="35" spans="1:9" x14ac:dyDescent="0.3">
      <c r="A35" s="6" t="str">
        <f t="shared" si="1"/>
        <v>202609-2</v>
      </c>
      <c r="B35" s="3">
        <v>2</v>
      </c>
      <c r="C35" s="2">
        <v>46266</v>
      </c>
      <c r="D35" s="8">
        <v>46315</v>
      </c>
      <c r="F35" s="6" t="str">
        <f t="shared" si="0"/>
        <v>202609-2</v>
      </c>
      <c r="G35" s="3">
        <v>2</v>
      </c>
      <c r="H35" s="2">
        <v>46266</v>
      </c>
      <c r="I35" s="8" t="s">
        <v>63</v>
      </c>
    </row>
    <row r="36" spans="1:9" x14ac:dyDescent="0.3">
      <c r="A36" s="6" t="str">
        <f t="shared" si="1"/>
        <v>202610-2</v>
      </c>
      <c r="B36" s="3">
        <v>2</v>
      </c>
      <c r="C36" s="2">
        <v>46296</v>
      </c>
      <c r="D36" s="8">
        <v>46344</v>
      </c>
      <c r="F36" s="6" t="str">
        <f t="shared" si="0"/>
        <v>202610-2</v>
      </c>
      <c r="G36" s="3">
        <v>2</v>
      </c>
      <c r="H36" s="2">
        <v>46296</v>
      </c>
      <c r="I36" s="8" t="s">
        <v>64</v>
      </c>
    </row>
    <row r="37" spans="1:9" x14ac:dyDescent="0.3">
      <c r="A37" s="6" t="str">
        <f t="shared" si="1"/>
        <v>202611-2</v>
      </c>
      <c r="B37" s="3">
        <v>2</v>
      </c>
      <c r="C37" s="2">
        <v>46327</v>
      </c>
      <c r="D37" s="8">
        <v>46377</v>
      </c>
      <c r="F37" s="6" t="str">
        <f t="shared" si="0"/>
        <v>202611-2</v>
      </c>
      <c r="G37" s="3">
        <v>2</v>
      </c>
      <c r="H37" s="2">
        <v>46327</v>
      </c>
      <c r="I37" s="8" t="s">
        <v>65</v>
      </c>
    </row>
    <row r="38" spans="1:9" x14ac:dyDescent="0.3">
      <c r="A38" s="6" t="str">
        <f t="shared" si="1"/>
        <v>202612-2</v>
      </c>
      <c r="B38" s="3">
        <v>2</v>
      </c>
      <c r="C38" s="2">
        <v>46357</v>
      </c>
      <c r="D38" s="8">
        <v>46407</v>
      </c>
      <c r="F38" s="6" t="str">
        <f t="shared" si="0"/>
        <v>202612-2</v>
      </c>
      <c r="G38" s="3">
        <v>2</v>
      </c>
      <c r="H38" s="2">
        <v>46357</v>
      </c>
      <c r="I38" s="8" t="s">
        <v>66</v>
      </c>
    </row>
    <row r="39" spans="1:9" x14ac:dyDescent="0.3">
      <c r="A39" s="6" t="str">
        <f t="shared" si="1"/>
        <v>202601-3</v>
      </c>
      <c r="B39" s="3">
        <v>3</v>
      </c>
      <c r="C39" s="2">
        <v>46023</v>
      </c>
      <c r="D39" s="8">
        <v>46071</v>
      </c>
      <c r="F39" s="6" t="str">
        <f t="shared" si="0"/>
        <v>202601-3</v>
      </c>
      <c r="G39" s="3">
        <v>3</v>
      </c>
      <c r="H39" s="2">
        <v>46023</v>
      </c>
      <c r="I39" s="8" t="s">
        <v>55</v>
      </c>
    </row>
    <row r="40" spans="1:9" x14ac:dyDescent="0.3">
      <c r="A40" s="6" t="str">
        <f t="shared" si="1"/>
        <v>202602-3</v>
      </c>
      <c r="B40" s="3">
        <v>3</v>
      </c>
      <c r="C40" s="2">
        <v>46054</v>
      </c>
      <c r="D40" s="8">
        <v>46099</v>
      </c>
      <c r="F40" s="6" t="str">
        <f t="shared" si="0"/>
        <v>202602-3</v>
      </c>
      <c r="G40" s="3">
        <v>3</v>
      </c>
      <c r="H40" s="2">
        <v>46054</v>
      </c>
      <c r="I40" s="8" t="s">
        <v>56</v>
      </c>
    </row>
    <row r="41" spans="1:9" x14ac:dyDescent="0.3">
      <c r="A41" s="6" t="str">
        <f t="shared" si="1"/>
        <v>202603-3</v>
      </c>
      <c r="B41" s="3">
        <v>3</v>
      </c>
      <c r="C41" s="2">
        <v>46082</v>
      </c>
      <c r="D41" s="8">
        <v>46133</v>
      </c>
      <c r="F41" s="6" t="str">
        <f t="shared" si="0"/>
        <v>202603-3</v>
      </c>
      <c r="G41" s="3">
        <v>3</v>
      </c>
      <c r="H41" s="2">
        <v>46082</v>
      </c>
      <c r="I41" s="8" t="s">
        <v>57</v>
      </c>
    </row>
    <row r="42" spans="1:9" x14ac:dyDescent="0.3">
      <c r="A42" s="6" t="str">
        <f t="shared" si="1"/>
        <v>202604-3</v>
      </c>
      <c r="B42" s="3">
        <v>3</v>
      </c>
      <c r="C42" s="2">
        <v>46113</v>
      </c>
      <c r="D42" s="8">
        <v>46162</v>
      </c>
      <c r="F42" s="6" t="str">
        <f t="shared" si="0"/>
        <v>202604-3</v>
      </c>
      <c r="G42" s="3">
        <v>3</v>
      </c>
      <c r="H42" s="2">
        <v>46113</v>
      </c>
      <c r="I42" s="8" t="s">
        <v>58</v>
      </c>
    </row>
    <row r="43" spans="1:9" x14ac:dyDescent="0.3">
      <c r="A43" s="6" t="str">
        <f t="shared" si="1"/>
        <v>202605-3</v>
      </c>
      <c r="B43" s="3">
        <v>3</v>
      </c>
      <c r="C43" s="2">
        <v>46143</v>
      </c>
      <c r="D43" s="8">
        <v>46190</v>
      </c>
      <c r="F43" s="6" t="str">
        <f t="shared" si="0"/>
        <v>202605-3</v>
      </c>
      <c r="G43" s="3">
        <v>3</v>
      </c>
      <c r="H43" s="2">
        <v>46143</v>
      </c>
      <c r="I43" s="8" t="s">
        <v>59</v>
      </c>
    </row>
    <row r="44" spans="1:9" x14ac:dyDescent="0.3">
      <c r="A44" s="6" t="str">
        <f t="shared" si="1"/>
        <v>202606-3</v>
      </c>
      <c r="B44" s="3">
        <v>3</v>
      </c>
      <c r="C44" s="2">
        <v>46174</v>
      </c>
      <c r="D44" s="8">
        <v>46220</v>
      </c>
      <c r="F44" s="6" t="str">
        <f t="shared" si="0"/>
        <v>202606-3</v>
      </c>
      <c r="G44" s="3">
        <v>3</v>
      </c>
      <c r="H44" s="2">
        <v>46174</v>
      </c>
      <c r="I44" s="8" t="s">
        <v>60</v>
      </c>
    </row>
    <row r="45" spans="1:9" x14ac:dyDescent="0.3">
      <c r="A45" s="6" t="str">
        <f t="shared" si="1"/>
        <v>202607-3</v>
      </c>
      <c r="B45" s="3">
        <v>3</v>
      </c>
      <c r="C45" s="2">
        <v>46204</v>
      </c>
      <c r="D45" s="8">
        <v>46254</v>
      </c>
      <c r="F45" s="6" t="str">
        <f t="shared" si="0"/>
        <v>202607-3</v>
      </c>
      <c r="G45" s="3">
        <v>3</v>
      </c>
      <c r="H45" s="2">
        <v>46204</v>
      </c>
      <c r="I45" s="8" t="s">
        <v>61</v>
      </c>
    </row>
    <row r="46" spans="1:9" x14ac:dyDescent="0.3">
      <c r="A46" s="6" t="str">
        <f t="shared" si="1"/>
        <v>202608-3</v>
      </c>
      <c r="B46" s="3">
        <v>3</v>
      </c>
      <c r="C46" s="2">
        <v>46235</v>
      </c>
      <c r="D46" s="8">
        <v>46282</v>
      </c>
      <c r="F46" s="6" t="str">
        <f t="shared" si="0"/>
        <v>202608-3</v>
      </c>
      <c r="G46" s="3">
        <v>3</v>
      </c>
      <c r="H46" s="2">
        <v>46235</v>
      </c>
      <c r="I46" s="8" t="s">
        <v>62</v>
      </c>
    </row>
    <row r="47" spans="1:9" x14ac:dyDescent="0.3">
      <c r="A47" s="6" t="str">
        <f t="shared" si="1"/>
        <v>202609-3</v>
      </c>
      <c r="B47" s="3">
        <v>3</v>
      </c>
      <c r="C47" s="2">
        <v>46266</v>
      </c>
      <c r="D47" s="8">
        <v>46315</v>
      </c>
      <c r="F47" s="6" t="str">
        <f t="shared" si="0"/>
        <v>202609-3</v>
      </c>
      <c r="G47" s="3">
        <v>3</v>
      </c>
      <c r="H47" s="2">
        <v>46266</v>
      </c>
      <c r="I47" s="8" t="s">
        <v>63</v>
      </c>
    </row>
    <row r="48" spans="1:9" x14ac:dyDescent="0.3">
      <c r="A48" s="6" t="str">
        <f t="shared" si="1"/>
        <v>202610-3</v>
      </c>
      <c r="B48" s="3">
        <v>3</v>
      </c>
      <c r="C48" s="2">
        <v>46296</v>
      </c>
      <c r="D48" s="8">
        <v>46344</v>
      </c>
      <c r="F48" s="6" t="str">
        <f t="shared" si="0"/>
        <v>202610-3</v>
      </c>
      <c r="G48" s="3">
        <v>3</v>
      </c>
      <c r="H48" s="2">
        <v>46296</v>
      </c>
      <c r="I48" s="8" t="s">
        <v>64</v>
      </c>
    </row>
    <row r="49" spans="1:9" x14ac:dyDescent="0.3">
      <c r="A49" s="6" t="str">
        <f t="shared" si="1"/>
        <v>202611-3</v>
      </c>
      <c r="B49" s="3">
        <v>3</v>
      </c>
      <c r="C49" s="2">
        <v>46327</v>
      </c>
      <c r="D49" s="8">
        <v>46377</v>
      </c>
      <c r="F49" s="6" t="str">
        <f t="shared" si="0"/>
        <v>202611-3</v>
      </c>
      <c r="G49" s="3">
        <v>3</v>
      </c>
      <c r="H49" s="2">
        <v>46327</v>
      </c>
      <c r="I49" s="8" t="s">
        <v>65</v>
      </c>
    </row>
    <row r="50" spans="1:9" x14ac:dyDescent="0.3">
      <c r="A50" s="6" t="str">
        <f t="shared" si="1"/>
        <v>202612-3</v>
      </c>
      <c r="B50" s="3">
        <v>3</v>
      </c>
      <c r="C50" s="2">
        <v>46357</v>
      </c>
      <c r="D50" s="8">
        <v>46407</v>
      </c>
      <c r="F50" s="6" t="str">
        <f t="shared" si="0"/>
        <v>202612-3</v>
      </c>
      <c r="G50" s="3">
        <v>3</v>
      </c>
      <c r="H50" s="2">
        <v>46357</v>
      </c>
      <c r="I50" s="8" t="s">
        <v>66</v>
      </c>
    </row>
    <row r="51" spans="1:9" x14ac:dyDescent="0.3">
      <c r="A51" s="6" t="str">
        <f t="shared" si="1"/>
        <v>202601-4</v>
      </c>
      <c r="B51" s="3">
        <v>4</v>
      </c>
      <c r="C51" s="2">
        <v>46023</v>
      </c>
      <c r="D51" s="8">
        <v>46072</v>
      </c>
      <c r="F51" s="6" t="str">
        <f t="shared" si="0"/>
        <v>202601-4</v>
      </c>
      <c r="G51" s="3">
        <v>4</v>
      </c>
      <c r="H51" s="2">
        <v>46023</v>
      </c>
      <c r="I51" s="8" t="s">
        <v>67</v>
      </c>
    </row>
    <row r="52" spans="1:9" x14ac:dyDescent="0.3">
      <c r="A52" s="6" t="str">
        <f t="shared" si="1"/>
        <v>202602-4</v>
      </c>
      <c r="B52" s="3">
        <v>4</v>
      </c>
      <c r="C52" s="2">
        <v>46054</v>
      </c>
      <c r="D52" s="8">
        <v>46100</v>
      </c>
      <c r="F52" s="6" t="str">
        <f t="shared" si="0"/>
        <v>202602-4</v>
      </c>
      <c r="G52" s="3">
        <v>4</v>
      </c>
      <c r="H52" s="2">
        <v>46054</v>
      </c>
      <c r="I52" s="8" t="s">
        <v>68</v>
      </c>
    </row>
    <row r="53" spans="1:9" x14ac:dyDescent="0.3">
      <c r="A53" s="6" t="str">
        <f t="shared" si="1"/>
        <v>202603-4</v>
      </c>
      <c r="B53" s="3">
        <v>4</v>
      </c>
      <c r="C53" s="2">
        <v>46082</v>
      </c>
      <c r="D53" s="8">
        <v>46134</v>
      </c>
      <c r="F53" s="6" t="str">
        <f t="shared" si="0"/>
        <v>202603-4</v>
      </c>
      <c r="G53" s="3">
        <v>4</v>
      </c>
      <c r="H53" s="2">
        <v>46082</v>
      </c>
      <c r="I53" s="8" t="s">
        <v>69</v>
      </c>
    </row>
    <row r="54" spans="1:9" x14ac:dyDescent="0.3">
      <c r="A54" s="6" t="str">
        <f t="shared" si="1"/>
        <v>202604-4</v>
      </c>
      <c r="B54" s="3">
        <v>4</v>
      </c>
      <c r="C54" s="2">
        <v>46113</v>
      </c>
      <c r="D54" s="8">
        <v>46163</v>
      </c>
      <c r="F54" s="6" t="str">
        <f t="shared" si="0"/>
        <v>202604-4</v>
      </c>
      <c r="G54" s="3">
        <v>4</v>
      </c>
      <c r="H54" s="2">
        <v>46113</v>
      </c>
      <c r="I54" s="8" t="s">
        <v>70</v>
      </c>
    </row>
    <row r="55" spans="1:9" x14ac:dyDescent="0.3">
      <c r="A55" s="6" t="str">
        <f t="shared" si="1"/>
        <v>202605-4</v>
      </c>
      <c r="B55" s="3">
        <v>4</v>
      </c>
      <c r="C55" s="2">
        <v>46143</v>
      </c>
      <c r="D55" s="8">
        <v>46191</v>
      </c>
      <c r="F55" s="6" t="str">
        <f t="shared" si="0"/>
        <v>202605-4</v>
      </c>
      <c r="G55" s="3">
        <v>4</v>
      </c>
      <c r="H55" s="2">
        <v>46143</v>
      </c>
      <c r="I55" s="8" t="s">
        <v>71</v>
      </c>
    </row>
    <row r="56" spans="1:9" x14ac:dyDescent="0.3">
      <c r="A56" s="6" t="str">
        <f t="shared" si="1"/>
        <v>202606-4</v>
      </c>
      <c r="B56" s="3">
        <v>4</v>
      </c>
      <c r="C56" s="2">
        <v>46174</v>
      </c>
      <c r="D56" s="8">
        <v>46223</v>
      </c>
      <c r="F56" s="6" t="str">
        <f t="shared" si="0"/>
        <v>202606-4</v>
      </c>
      <c r="G56" s="3">
        <v>4</v>
      </c>
      <c r="H56" s="2">
        <v>46174</v>
      </c>
      <c r="I56" s="8" t="s">
        <v>72</v>
      </c>
    </row>
    <row r="57" spans="1:9" x14ac:dyDescent="0.3">
      <c r="A57" s="6" t="str">
        <f t="shared" si="1"/>
        <v>202607-4</v>
      </c>
      <c r="B57" s="3">
        <v>4</v>
      </c>
      <c r="C57" s="2">
        <v>46204</v>
      </c>
      <c r="D57" s="8">
        <v>46255</v>
      </c>
      <c r="F57" s="6" t="str">
        <f t="shared" si="0"/>
        <v>202607-4</v>
      </c>
      <c r="G57" s="3">
        <v>4</v>
      </c>
      <c r="H57" s="2">
        <v>46204</v>
      </c>
      <c r="I57" s="8" t="s">
        <v>73</v>
      </c>
    </row>
    <row r="58" spans="1:9" x14ac:dyDescent="0.3">
      <c r="A58" s="6" t="str">
        <f t="shared" si="1"/>
        <v>202608-4</v>
      </c>
      <c r="B58" s="3">
        <v>4</v>
      </c>
      <c r="C58" s="2">
        <v>46235</v>
      </c>
      <c r="D58" s="8">
        <v>46283</v>
      </c>
      <c r="F58" s="6" t="str">
        <f t="shared" si="0"/>
        <v>202608-4</v>
      </c>
      <c r="G58" s="3">
        <v>4</v>
      </c>
      <c r="H58" s="2">
        <v>46235</v>
      </c>
      <c r="I58" s="8" t="s">
        <v>74</v>
      </c>
    </row>
    <row r="59" spans="1:9" x14ac:dyDescent="0.3">
      <c r="A59" s="6" t="str">
        <f t="shared" si="1"/>
        <v>202609-4</v>
      </c>
      <c r="B59" s="3">
        <v>4</v>
      </c>
      <c r="C59" s="2">
        <v>46266</v>
      </c>
      <c r="D59" s="8">
        <v>46316</v>
      </c>
      <c r="F59" s="6" t="str">
        <f t="shared" si="0"/>
        <v>202609-4</v>
      </c>
      <c r="G59" s="3">
        <v>4</v>
      </c>
      <c r="H59" s="2">
        <v>46266</v>
      </c>
      <c r="I59" s="8" t="s">
        <v>75</v>
      </c>
    </row>
    <row r="60" spans="1:9" x14ac:dyDescent="0.3">
      <c r="A60" s="6" t="str">
        <f t="shared" si="1"/>
        <v>202610-4</v>
      </c>
      <c r="B60" s="3">
        <v>4</v>
      </c>
      <c r="C60" s="2">
        <v>46296</v>
      </c>
      <c r="D60" s="8">
        <v>46345</v>
      </c>
      <c r="F60" s="6" t="str">
        <f t="shared" si="0"/>
        <v>202610-4</v>
      </c>
      <c r="G60" s="3">
        <v>4</v>
      </c>
      <c r="H60" s="2">
        <v>46296</v>
      </c>
      <c r="I60" s="8" t="s">
        <v>76</v>
      </c>
    </row>
    <row r="61" spans="1:9" x14ac:dyDescent="0.3">
      <c r="A61" s="6" t="str">
        <f t="shared" si="1"/>
        <v>202611-4</v>
      </c>
      <c r="B61" s="3">
        <v>4</v>
      </c>
      <c r="C61" s="2">
        <v>46327</v>
      </c>
      <c r="D61" s="8">
        <v>46378</v>
      </c>
      <c r="F61" s="6" t="str">
        <f t="shared" si="0"/>
        <v>202611-4</v>
      </c>
      <c r="G61" s="3">
        <v>4</v>
      </c>
      <c r="H61" s="2">
        <v>46327</v>
      </c>
      <c r="I61" s="8" t="s">
        <v>77</v>
      </c>
    </row>
    <row r="62" spans="1:9" x14ac:dyDescent="0.3">
      <c r="A62" s="6" t="str">
        <f t="shared" si="1"/>
        <v>202612-4</v>
      </c>
      <c r="B62" s="3">
        <v>4</v>
      </c>
      <c r="C62" s="2">
        <v>46357</v>
      </c>
      <c r="D62" s="8">
        <v>46408</v>
      </c>
      <c r="F62" s="6" t="str">
        <f t="shared" si="0"/>
        <v>202612-4</v>
      </c>
      <c r="G62" s="3">
        <v>4</v>
      </c>
      <c r="H62" s="2">
        <v>46357</v>
      </c>
      <c r="I62" s="8" t="s">
        <v>78</v>
      </c>
    </row>
    <row r="63" spans="1:9" x14ac:dyDescent="0.3">
      <c r="A63" s="6" t="str">
        <f t="shared" si="1"/>
        <v>202601-5</v>
      </c>
      <c r="B63" s="3">
        <v>5</v>
      </c>
      <c r="C63" s="2">
        <v>46023</v>
      </c>
      <c r="D63" s="8">
        <v>46072</v>
      </c>
      <c r="F63" s="6" t="str">
        <f t="shared" si="0"/>
        <v>202601-5</v>
      </c>
      <c r="G63" s="3">
        <v>5</v>
      </c>
      <c r="H63" s="2">
        <v>46023</v>
      </c>
      <c r="I63" s="8" t="s">
        <v>67</v>
      </c>
    </row>
    <row r="64" spans="1:9" x14ac:dyDescent="0.3">
      <c r="A64" s="6" t="str">
        <f t="shared" si="1"/>
        <v>202602-5</v>
      </c>
      <c r="B64" s="3">
        <v>5</v>
      </c>
      <c r="C64" s="2">
        <v>46054</v>
      </c>
      <c r="D64" s="8">
        <v>46100</v>
      </c>
      <c r="F64" s="6" t="str">
        <f t="shared" si="0"/>
        <v>202602-5</v>
      </c>
      <c r="G64" s="3">
        <v>5</v>
      </c>
      <c r="H64" s="2">
        <v>46054</v>
      </c>
      <c r="I64" s="8" t="s">
        <v>68</v>
      </c>
    </row>
    <row r="65" spans="1:9" x14ac:dyDescent="0.3">
      <c r="A65" s="6" t="str">
        <f t="shared" si="1"/>
        <v>202603-5</v>
      </c>
      <c r="B65" s="3">
        <v>5</v>
      </c>
      <c r="C65" s="2">
        <v>46082</v>
      </c>
      <c r="D65" s="8">
        <v>46134</v>
      </c>
      <c r="F65" s="6" t="str">
        <f t="shared" si="0"/>
        <v>202603-5</v>
      </c>
      <c r="G65" s="3">
        <v>5</v>
      </c>
      <c r="H65" s="2">
        <v>46082</v>
      </c>
      <c r="I65" s="8" t="s">
        <v>69</v>
      </c>
    </row>
    <row r="66" spans="1:9" x14ac:dyDescent="0.3">
      <c r="A66" s="6" t="str">
        <f t="shared" si="1"/>
        <v>202604-5</v>
      </c>
      <c r="B66" s="3">
        <v>5</v>
      </c>
      <c r="C66" s="2">
        <v>46113</v>
      </c>
      <c r="D66" s="8">
        <v>46163</v>
      </c>
      <c r="F66" s="6" t="str">
        <f t="shared" si="0"/>
        <v>202604-5</v>
      </c>
      <c r="G66" s="3">
        <v>5</v>
      </c>
      <c r="H66" s="2">
        <v>46113</v>
      </c>
      <c r="I66" s="8" t="s">
        <v>70</v>
      </c>
    </row>
    <row r="67" spans="1:9" x14ac:dyDescent="0.3">
      <c r="A67" s="6" t="str">
        <f t="shared" si="1"/>
        <v>202605-5</v>
      </c>
      <c r="B67" s="3">
        <v>5</v>
      </c>
      <c r="C67" s="2">
        <v>46143</v>
      </c>
      <c r="D67" s="8">
        <v>46191</v>
      </c>
      <c r="F67" s="6" t="str">
        <f t="shared" si="0"/>
        <v>202605-5</v>
      </c>
      <c r="G67" s="3">
        <v>5</v>
      </c>
      <c r="H67" s="2">
        <v>46143</v>
      </c>
      <c r="I67" s="8" t="s">
        <v>71</v>
      </c>
    </row>
    <row r="68" spans="1:9" x14ac:dyDescent="0.3">
      <c r="A68" s="6" t="str">
        <f t="shared" si="1"/>
        <v>202606-5</v>
      </c>
      <c r="B68" s="3">
        <v>5</v>
      </c>
      <c r="C68" s="2">
        <v>46174</v>
      </c>
      <c r="D68" s="8">
        <v>46223</v>
      </c>
      <c r="F68" s="6" t="str">
        <f t="shared" ref="F68:F131" si="2">CONCATENATE(YEAR(I68-30),TEXT(MONTH(I68-30),"00"), "-",G68)</f>
        <v>202606-5</v>
      </c>
      <c r="G68" s="3">
        <v>5</v>
      </c>
      <c r="H68" s="2">
        <v>46174</v>
      </c>
      <c r="I68" s="8" t="s">
        <v>72</v>
      </c>
    </row>
    <row r="69" spans="1:9" x14ac:dyDescent="0.3">
      <c r="A69" s="6" t="str">
        <f t="shared" si="1"/>
        <v>202607-5</v>
      </c>
      <c r="B69" s="3">
        <v>5</v>
      </c>
      <c r="C69" s="2">
        <v>46204</v>
      </c>
      <c r="D69" s="8">
        <v>46255</v>
      </c>
      <c r="F69" s="6" t="str">
        <f t="shared" si="2"/>
        <v>202607-5</v>
      </c>
      <c r="G69" s="3">
        <v>5</v>
      </c>
      <c r="H69" s="2">
        <v>46204</v>
      </c>
      <c r="I69" s="8" t="s">
        <v>73</v>
      </c>
    </row>
    <row r="70" spans="1:9" x14ac:dyDescent="0.3">
      <c r="A70" s="6" t="str">
        <f t="shared" ref="A70:A133" si="3">CONCATENATE("2026",TEXT(MONTH(C70),"00"),"-",B70)</f>
        <v>202608-5</v>
      </c>
      <c r="B70" s="3">
        <v>5</v>
      </c>
      <c r="C70" s="2">
        <v>46235</v>
      </c>
      <c r="D70" s="8">
        <v>46283</v>
      </c>
      <c r="F70" s="6" t="str">
        <f t="shared" si="2"/>
        <v>202608-5</v>
      </c>
      <c r="G70" s="3">
        <v>5</v>
      </c>
      <c r="H70" s="2">
        <v>46235</v>
      </c>
      <c r="I70" s="8" t="s">
        <v>74</v>
      </c>
    </row>
    <row r="71" spans="1:9" x14ac:dyDescent="0.3">
      <c r="A71" s="6" t="str">
        <f t="shared" si="3"/>
        <v>202609-5</v>
      </c>
      <c r="B71" s="3">
        <v>5</v>
      </c>
      <c r="C71" s="2">
        <v>46266</v>
      </c>
      <c r="D71" s="8">
        <v>46316</v>
      </c>
      <c r="F71" s="6" t="str">
        <f t="shared" si="2"/>
        <v>202609-5</v>
      </c>
      <c r="G71" s="3">
        <v>5</v>
      </c>
      <c r="H71" s="2">
        <v>46266</v>
      </c>
      <c r="I71" s="8" t="s">
        <v>75</v>
      </c>
    </row>
    <row r="72" spans="1:9" x14ac:dyDescent="0.3">
      <c r="A72" s="6" t="str">
        <f t="shared" si="3"/>
        <v>202610-5</v>
      </c>
      <c r="B72" s="3">
        <v>5</v>
      </c>
      <c r="C72" s="2">
        <v>46296</v>
      </c>
      <c r="D72" s="8">
        <v>46345</v>
      </c>
      <c r="F72" s="6" t="str">
        <f t="shared" si="2"/>
        <v>202610-5</v>
      </c>
      <c r="G72" s="3">
        <v>5</v>
      </c>
      <c r="H72" s="2">
        <v>46296</v>
      </c>
      <c r="I72" s="8" t="s">
        <v>76</v>
      </c>
    </row>
    <row r="73" spans="1:9" x14ac:dyDescent="0.3">
      <c r="A73" s="6" t="str">
        <f t="shared" si="3"/>
        <v>202611-5</v>
      </c>
      <c r="B73" s="3">
        <v>5</v>
      </c>
      <c r="C73" s="2">
        <v>46327</v>
      </c>
      <c r="D73" s="8">
        <v>46378</v>
      </c>
      <c r="F73" s="6" t="str">
        <f t="shared" si="2"/>
        <v>202611-5</v>
      </c>
      <c r="G73" s="3">
        <v>5</v>
      </c>
      <c r="H73" s="2">
        <v>46327</v>
      </c>
      <c r="I73" s="8" t="s">
        <v>77</v>
      </c>
    </row>
    <row r="74" spans="1:9" x14ac:dyDescent="0.3">
      <c r="A74" s="6" t="str">
        <f t="shared" si="3"/>
        <v>202612-5</v>
      </c>
      <c r="B74" s="3">
        <v>5</v>
      </c>
      <c r="C74" s="2">
        <v>46357</v>
      </c>
      <c r="D74" s="8">
        <v>46408</v>
      </c>
      <c r="F74" s="6" t="str">
        <f t="shared" si="2"/>
        <v>202612-5</v>
      </c>
      <c r="G74" s="3">
        <v>5</v>
      </c>
      <c r="H74" s="2">
        <v>46357</v>
      </c>
      <c r="I74" s="8" t="s">
        <v>78</v>
      </c>
    </row>
    <row r="75" spans="1:9" x14ac:dyDescent="0.3">
      <c r="A75" s="6" t="str">
        <f t="shared" si="3"/>
        <v>202601-6</v>
      </c>
      <c r="B75" s="3">
        <v>6</v>
      </c>
      <c r="C75" s="2">
        <v>46023</v>
      </c>
      <c r="D75" s="8">
        <v>46073</v>
      </c>
      <c r="F75" s="6" t="str">
        <f t="shared" si="2"/>
        <v>202601-6</v>
      </c>
      <c r="G75" s="3">
        <v>6</v>
      </c>
      <c r="H75" s="2">
        <v>46023</v>
      </c>
      <c r="I75" s="8" t="s">
        <v>79</v>
      </c>
    </row>
    <row r="76" spans="1:9" x14ac:dyDescent="0.3">
      <c r="A76" s="6" t="str">
        <f t="shared" si="3"/>
        <v>202602-6</v>
      </c>
      <c r="B76" s="3">
        <v>6</v>
      </c>
      <c r="C76" s="2">
        <v>46054</v>
      </c>
      <c r="D76" s="8">
        <v>46101</v>
      </c>
      <c r="F76" s="6" t="str">
        <f t="shared" si="2"/>
        <v>202602-6</v>
      </c>
      <c r="G76" s="3">
        <v>6</v>
      </c>
      <c r="H76" s="2">
        <v>46054</v>
      </c>
      <c r="I76" s="8" t="s">
        <v>80</v>
      </c>
    </row>
    <row r="77" spans="1:9" x14ac:dyDescent="0.3">
      <c r="A77" s="6" t="str">
        <f t="shared" si="3"/>
        <v>202603-6</v>
      </c>
      <c r="B77" s="3">
        <v>6</v>
      </c>
      <c r="C77" s="2">
        <v>46082</v>
      </c>
      <c r="D77" s="8">
        <v>46135</v>
      </c>
      <c r="F77" s="6" t="str">
        <f t="shared" si="2"/>
        <v>202603-6</v>
      </c>
      <c r="G77" s="3">
        <v>6</v>
      </c>
      <c r="H77" s="2">
        <v>46082</v>
      </c>
      <c r="I77" s="8" t="s">
        <v>81</v>
      </c>
    </row>
    <row r="78" spans="1:9" x14ac:dyDescent="0.3">
      <c r="A78" s="6" t="str">
        <f t="shared" si="3"/>
        <v>202604-6</v>
      </c>
      <c r="B78" s="3">
        <v>6</v>
      </c>
      <c r="C78" s="2">
        <v>46113</v>
      </c>
      <c r="D78" s="8">
        <v>46164</v>
      </c>
      <c r="F78" s="6" t="str">
        <f t="shared" si="2"/>
        <v>202604-6</v>
      </c>
      <c r="G78" s="3">
        <v>6</v>
      </c>
      <c r="H78" s="2">
        <v>46113</v>
      </c>
      <c r="I78" s="8" t="s">
        <v>82</v>
      </c>
    </row>
    <row r="79" spans="1:9" x14ac:dyDescent="0.3">
      <c r="A79" s="6" t="str">
        <f t="shared" si="3"/>
        <v>202605-6</v>
      </c>
      <c r="B79" s="3">
        <v>6</v>
      </c>
      <c r="C79" s="2">
        <v>46143</v>
      </c>
      <c r="D79" s="8">
        <v>46192</v>
      </c>
      <c r="F79" s="6" t="str">
        <f t="shared" si="2"/>
        <v>202605-6</v>
      </c>
      <c r="G79" s="3">
        <v>6</v>
      </c>
      <c r="H79" s="2">
        <v>46143</v>
      </c>
      <c r="I79" s="8" t="s">
        <v>83</v>
      </c>
    </row>
    <row r="80" spans="1:9" x14ac:dyDescent="0.3">
      <c r="A80" s="6" t="str">
        <f t="shared" si="3"/>
        <v>202606-6</v>
      </c>
      <c r="B80" s="3">
        <v>6</v>
      </c>
      <c r="C80" s="2">
        <v>46174</v>
      </c>
      <c r="D80" s="8">
        <v>46224</v>
      </c>
      <c r="F80" s="6" t="str">
        <f t="shared" si="2"/>
        <v>202606-6</v>
      </c>
      <c r="G80" s="3">
        <v>6</v>
      </c>
      <c r="H80" s="2">
        <v>46174</v>
      </c>
      <c r="I80" s="8" t="s">
        <v>84</v>
      </c>
    </row>
    <row r="81" spans="1:9" x14ac:dyDescent="0.3">
      <c r="A81" s="6" t="str">
        <f t="shared" si="3"/>
        <v>202607-6</v>
      </c>
      <c r="B81" s="3">
        <v>6</v>
      </c>
      <c r="C81" s="2">
        <v>46204</v>
      </c>
      <c r="D81" s="8">
        <v>46258</v>
      </c>
      <c r="F81" s="6" t="str">
        <f t="shared" si="2"/>
        <v>202607-6</v>
      </c>
      <c r="G81" s="3">
        <v>6</v>
      </c>
      <c r="H81" s="2">
        <v>46204</v>
      </c>
      <c r="I81" s="8" t="s">
        <v>85</v>
      </c>
    </row>
    <row r="82" spans="1:9" x14ac:dyDescent="0.3">
      <c r="A82" s="6" t="str">
        <f t="shared" si="3"/>
        <v>202608-6</v>
      </c>
      <c r="B82" s="3">
        <v>6</v>
      </c>
      <c r="C82" s="2">
        <v>46235</v>
      </c>
      <c r="D82" s="8">
        <v>46286</v>
      </c>
      <c r="F82" s="6" t="str">
        <f t="shared" si="2"/>
        <v>202608-6</v>
      </c>
      <c r="G82" s="3">
        <v>6</v>
      </c>
      <c r="H82" s="2">
        <v>46235</v>
      </c>
      <c r="I82" s="8" t="s">
        <v>86</v>
      </c>
    </row>
    <row r="83" spans="1:9" x14ac:dyDescent="0.3">
      <c r="A83" s="6" t="str">
        <f t="shared" si="3"/>
        <v>202609-6</v>
      </c>
      <c r="B83" s="3">
        <v>6</v>
      </c>
      <c r="C83" s="2">
        <v>46266</v>
      </c>
      <c r="D83" s="8">
        <v>46317</v>
      </c>
      <c r="F83" s="6" t="str">
        <f t="shared" si="2"/>
        <v>202609-6</v>
      </c>
      <c r="G83" s="3">
        <v>6</v>
      </c>
      <c r="H83" s="2">
        <v>46266</v>
      </c>
      <c r="I83" s="8" t="s">
        <v>87</v>
      </c>
    </row>
    <row r="84" spans="1:9" x14ac:dyDescent="0.3">
      <c r="A84" s="6" t="str">
        <f t="shared" si="3"/>
        <v>202610-6</v>
      </c>
      <c r="B84" s="3">
        <v>6</v>
      </c>
      <c r="C84" s="2">
        <v>46296</v>
      </c>
      <c r="D84" s="8">
        <v>46346</v>
      </c>
      <c r="F84" s="6" t="str">
        <f t="shared" si="2"/>
        <v>202610-6</v>
      </c>
      <c r="G84" s="3">
        <v>6</v>
      </c>
      <c r="H84" s="2">
        <v>46296</v>
      </c>
      <c r="I84" s="8" t="s">
        <v>88</v>
      </c>
    </row>
    <row r="85" spans="1:9" x14ac:dyDescent="0.3">
      <c r="A85" s="6" t="str">
        <f t="shared" si="3"/>
        <v>202611-6</v>
      </c>
      <c r="B85" s="3">
        <v>6</v>
      </c>
      <c r="C85" s="2">
        <v>46327</v>
      </c>
      <c r="D85" s="8">
        <v>46379</v>
      </c>
      <c r="F85" s="6" t="str">
        <f t="shared" si="2"/>
        <v>202611-6</v>
      </c>
      <c r="G85" s="3">
        <v>6</v>
      </c>
      <c r="H85" s="2">
        <v>46327</v>
      </c>
      <c r="I85" s="8" t="s">
        <v>89</v>
      </c>
    </row>
    <row r="86" spans="1:9" x14ac:dyDescent="0.3">
      <c r="A86" s="6" t="str">
        <f t="shared" si="3"/>
        <v>202612-6</v>
      </c>
      <c r="B86" s="3">
        <v>6</v>
      </c>
      <c r="C86" s="2">
        <v>46357</v>
      </c>
      <c r="D86" s="8">
        <v>46409</v>
      </c>
      <c r="F86" s="6" t="str">
        <f t="shared" si="2"/>
        <v>202612-6</v>
      </c>
      <c r="G86" s="3">
        <v>6</v>
      </c>
      <c r="H86" s="2">
        <v>46357</v>
      </c>
      <c r="I86" s="8" t="s">
        <v>90</v>
      </c>
    </row>
    <row r="87" spans="1:9" x14ac:dyDescent="0.3">
      <c r="A87" s="6" t="str">
        <f t="shared" si="3"/>
        <v>202601-7</v>
      </c>
      <c r="B87" s="3">
        <v>7</v>
      </c>
      <c r="C87" s="2">
        <v>46023</v>
      </c>
      <c r="D87" s="8">
        <v>46073</v>
      </c>
      <c r="F87" s="6" t="str">
        <f t="shared" si="2"/>
        <v>202601-7</v>
      </c>
      <c r="G87" s="3">
        <v>7</v>
      </c>
      <c r="H87" s="2">
        <v>46023</v>
      </c>
      <c r="I87" s="8" t="s">
        <v>79</v>
      </c>
    </row>
    <row r="88" spans="1:9" x14ac:dyDescent="0.3">
      <c r="A88" s="6" t="str">
        <f t="shared" si="3"/>
        <v>202602-7</v>
      </c>
      <c r="B88" s="3">
        <v>7</v>
      </c>
      <c r="C88" s="2">
        <v>46054</v>
      </c>
      <c r="D88" s="8">
        <v>46101</v>
      </c>
      <c r="F88" s="6" t="str">
        <f t="shared" si="2"/>
        <v>202602-7</v>
      </c>
      <c r="G88" s="3">
        <v>7</v>
      </c>
      <c r="H88" s="2">
        <v>46054</v>
      </c>
      <c r="I88" s="8" t="s">
        <v>80</v>
      </c>
    </row>
    <row r="89" spans="1:9" x14ac:dyDescent="0.3">
      <c r="A89" s="6" t="str">
        <f t="shared" si="3"/>
        <v>202603-7</v>
      </c>
      <c r="B89" s="3">
        <v>7</v>
      </c>
      <c r="C89" s="2">
        <v>46082</v>
      </c>
      <c r="D89" s="8">
        <v>46135</v>
      </c>
      <c r="F89" s="6" t="str">
        <f t="shared" si="2"/>
        <v>202603-7</v>
      </c>
      <c r="G89" s="3">
        <v>7</v>
      </c>
      <c r="H89" s="2">
        <v>46082</v>
      </c>
      <c r="I89" s="8" t="s">
        <v>81</v>
      </c>
    </row>
    <row r="90" spans="1:9" x14ac:dyDescent="0.3">
      <c r="A90" s="6" t="str">
        <f t="shared" si="3"/>
        <v>202604-7</v>
      </c>
      <c r="B90" s="3">
        <v>7</v>
      </c>
      <c r="C90" s="2">
        <v>46113</v>
      </c>
      <c r="D90" s="8">
        <v>46164</v>
      </c>
      <c r="F90" s="6" t="str">
        <f t="shared" si="2"/>
        <v>202604-7</v>
      </c>
      <c r="G90" s="3">
        <v>7</v>
      </c>
      <c r="H90" s="2">
        <v>46113</v>
      </c>
      <c r="I90" s="8" t="s">
        <v>82</v>
      </c>
    </row>
    <row r="91" spans="1:9" x14ac:dyDescent="0.3">
      <c r="A91" s="6" t="str">
        <f t="shared" si="3"/>
        <v>202605-7</v>
      </c>
      <c r="B91" s="3">
        <v>7</v>
      </c>
      <c r="C91" s="2">
        <v>46143</v>
      </c>
      <c r="D91" s="8">
        <v>46192</v>
      </c>
      <c r="F91" s="6" t="str">
        <f t="shared" si="2"/>
        <v>202605-7</v>
      </c>
      <c r="G91" s="3">
        <v>7</v>
      </c>
      <c r="H91" s="2">
        <v>46143</v>
      </c>
      <c r="I91" s="8" t="s">
        <v>83</v>
      </c>
    </row>
    <row r="92" spans="1:9" x14ac:dyDescent="0.3">
      <c r="A92" s="6" t="str">
        <f t="shared" si="3"/>
        <v>202606-7</v>
      </c>
      <c r="B92" s="3">
        <v>7</v>
      </c>
      <c r="C92" s="2">
        <v>46174</v>
      </c>
      <c r="D92" s="8">
        <v>46224</v>
      </c>
      <c r="F92" s="6" t="str">
        <f t="shared" si="2"/>
        <v>202606-7</v>
      </c>
      <c r="G92" s="3">
        <v>7</v>
      </c>
      <c r="H92" s="2">
        <v>46174</v>
      </c>
      <c r="I92" s="8" t="s">
        <v>84</v>
      </c>
    </row>
    <row r="93" spans="1:9" x14ac:dyDescent="0.3">
      <c r="A93" s="6" t="str">
        <f t="shared" si="3"/>
        <v>202607-7</v>
      </c>
      <c r="B93" s="3">
        <v>7</v>
      </c>
      <c r="C93" s="2">
        <v>46204</v>
      </c>
      <c r="D93" s="8">
        <v>46258</v>
      </c>
      <c r="F93" s="6" t="str">
        <f t="shared" si="2"/>
        <v>202607-7</v>
      </c>
      <c r="G93" s="3">
        <v>7</v>
      </c>
      <c r="H93" s="2">
        <v>46204</v>
      </c>
      <c r="I93" s="8" t="s">
        <v>85</v>
      </c>
    </row>
    <row r="94" spans="1:9" x14ac:dyDescent="0.3">
      <c r="A94" s="6" t="str">
        <f t="shared" si="3"/>
        <v>202608-7</v>
      </c>
      <c r="B94" s="3">
        <v>7</v>
      </c>
      <c r="C94" s="2">
        <v>46235</v>
      </c>
      <c r="D94" s="8">
        <v>46286</v>
      </c>
      <c r="F94" s="6" t="str">
        <f t="shared" si="2"/>
        <v>202608-7</v>
      </c>
      <c r="G94" s="3">
        <v>7</v>
      </c>
      <c r="H94" s="2">
        <v>46235</v>
      </c>
      <c r="I94" s="8" t="s">
        <v>86</v>
      </c>
    </row>
    <row r="95" spans="1:9" x14ac:dyDescent="0.3">
      <c r="A95" s="6" t="str">
        <f t="shared" si="3"/>
        <v>202609-7</v>
      </c>
      <c r="B95" s="3">
        <v>7</v>
      </c>
      <c r="C95" s="2">
        <v>46266</v>
      </c>
      <c r="D95" s="8">
        <v>46317</v>
      </c>
      <c r="F95" s="6" t="str">
        <f t="shared" si="2"/>
        <v>202609-7</v>
      </c>
      <c r="G95" s="3">
        <v>7</v>
      </c>
      <c r="H95" s="2">
        <v>46266</v>
      </c>
      <c r="I95" s="8" t="s">
        <v>87</v>
      </c>
    </row>
    <row r="96" spans="1:9" x14ac:dyDescent="0.3">
      <c r="A96" s="6" t="str">
        <f t="shared" si="3"/>
        <v>202610-7</v>
      </c>
      <c r="B96" s="3">
        <v>7</v>
      </c>
      <c r="C96" s="2">
        <v>46296</v>
      </c>
      <c r="D96" s="8">
        <v>46346</v>
      </c>
      <c r="F96" s="6" t="str">
        <f t="shared" si="2"/>
        <v>202610-7</v>
      </c>
      <c r="G96" s="3">
        <v>7</v>
      </c>
      <c r="H96" s="2">
        <v>46296</v>
      </c>
      <c r="I96" s="8" t="s">
        <v>88</v>
      </c>
    </row>
    <row r="97" spans="1:9" x14ac:dyDescent="0.3">
      <c r="A97" s="6" t="str">
        <f t="shared" si="3"/>
        <v>202611-7</v>
      </c>
      <c r="B97" s="3">
        <v>7</v>
      </c>
      <c r="C97" s="2">
        <v>46327</v>
      </c>
      <c r="D97" s="8">
        <v>46379</v>
      </c>
      <c r="F97" s="6" t="str">
        <f t="shared" si="2"/>
        <v>202611-7</v>
      </c>
      <c r="G97" s="3">
        <v>7</v>
      </c>
      <c r="H97" s="2">
        <v>46327</v>
      </c>
      <c r="I97" s="8" t="s">
        <v>89</v>
      </c>
    </row>
    <row r="98" spans="1:9" x14ac:dyDescent="0.3">
      <c r="A98" s="6" t="str">
        <f t="shared" si="3"/>
        <v>202612-7</v>
      </c>
      <c r="B98" s="3">
        <v>7</v>
      </c>
      <c r="C98" s="2">
        <v>46357</v>
      </c>
      <c r="D98" s="8">
        <v>46409</v>
      </c>
      <c r="F98" s="6" t="str">
        <f t="shared" si="2"/>
        <v>202612-7</v>
      </c>
      <c r="G98" s="3">
        <v>7</v>
      </c>
      <c r="H98" s="2">
        <v>46357</v>
      </c>
      <c r="I98" s="8" t="s">
        <v>90</v>
      </c>
    </row>
    <row r="99" spans="1:9" x14ac:dyDescent="0.3">
      <c r="A99" s="6" t="str">
        <f t="shared" si="3"/>
        <v>202601-8</v>
      </c>
      <c r="B99" s="3">
        <v>8</v>
      </c>
      <c r="C99" s="2">
        <v>46023</v>
      </c>
      <c r="D99" s="8">
        <v>46076</v>
      </c>
      <c r="F99" s="6" t="str">
        <f t="shared" si="2"/>
        <v>202601-8</v>
      </c>
      <c r="G99" s="3">
        <v>8</v>
      </c>
      <c r="H99" s="2">
        <v>46023</v>
      </c>
      <c r="I99" s="8" t="s">
        <v>91</v>
      </c>
    </row>
    <row r="100" spans="1:9" x14ac:dyDescent="0.3">
      <c r="A100" s="6" t="str">
        <f t="shared" si="3"/>
        <v>202602-8</v>
      </c>
      <c r="B100" s="3">
        <v>8</v>
      </c>
      <c r="C100" s="2">
        <v>46054</v>
      </c>
      <c r="D100" s="8">
        <v>46104</v>
      </c>
      <c r="F100" s="6" t="str">
        <f t="shared" si="2"/>
        <v>202602-8</v>
      </c>
      <c r="G100" s="3">
        <v>8</v>
      </c>
      <c r="H100" s="2">
        <v>46054</v>
      </c>
      <c r="I100" s="8" t="s">
        <v>92</v>
      </c>
    </row>
    <row r="101" spans="1:9" x14ac:dyDescent="0.3">
      <c r="A101" s="6" t="str">
        <f t="shared" si="3"/>
        <v>202603-8</v>
      </c>
      <c r="B101" s="3">
        <v>8</v>
      </c>
      <c r="C101" s="2">
        <v>46082</v>
      </c>
      <c r="D101" s="8">
        <v>46136</v>
      </c>
      <c r="F101" s="6" t="str">
        <f t="shared" si="2"/>
        <v>202603-8</v>
      </c>
      <c r="G101" s="3">
        <v>8</v>
      </c>
      <c r="H101" s="2">
        <v>46082</v>
      </c>
      <c r="I101" s="8" t="s">
        <v>93</v>
      </c>
    </row>
    <row r="102" spans="1:9" x14ac:dyDescent="0.3">
      <c r="A102" s="6" t="str">
        <f t="shared" si="3"/>
        <v>202604-8</v>
      </c>
      <c r="B102" s="3">
        <v>8</v>
      </c>
      <c r="C102" s="2">
        <v>46113</v>
      </c>
      <c r="D102" s="8">
        <v>46167</v>
      </c>
      <c r="F102" s="6" t="str">
        <f t="shared" si="2"/>
        <v>202604-8</v>
      </c>
      <c r="G102" s="3">
        <v>8</v>
      </c>
      <c r="H102" s="2">
        <v>46113</v>
      </c>
      <c r="I102" s="8" t="s">
        <v>94</v>
      </c>
    </row>
    <row r="103" spans="1:9" x14ac:dyDescent="0.3">
      <c r="A103" s="6" t="str">
        <f t="shared" si="3"/>
        <v>202605-8</v>
      </c>
      <c r="B103" s="3">
        <v>8</v>
      </c>
      <c r="C103" s="2">
        <v>46143</v>
      </c>
      <c r="D103" s="8">
        <v>46195</v>
      </c>
      <c r="F103" s="6" t="str">
        <f t="shared" si="2"/>
        <v>202605-8</v>
      </c>
      <c r="G103" s="3">
        <v>8</v>
      </c>
      <c r="H103" s="2">
        <v>46143</v>
      </c>
      <c r="I103" s="8" t="s">
        <v>95</v>
      </c>
    </row>
    <row r="104" spans="1:9" x14ac:dyDescent="0.3">
      <c r="A104" s="6" t="str">
        <f t="shared" si="3"/>
        <v>202606-8</v>
      </c>
      <c r="B104" s="3">
        <v>8</v>
      </c>
      <c r="C104" s="2">
        <v>46174</v>
      </c>
      <c r="D104" s="8">
        <v>46225</v>
      </c>
      <c r="F104" s="6" t="str">
        <f t="shared" si="2"/>
        <v>202606-8</v>
      </c>
      <c r="G104" s="3">
        <v>8</v>
      </c>
      <c r="H104" s="2">
        <v>46174</v>
      </c>
      <c r="I104" s="8" t="s">
        <v>96</v>
      </c>
    </row>
    <row r="105" spans="1:9" x14ac:dyDescent="0.3">
      <c r="A105" s="6" t="str">
        <f t="shared" si="3"/>
        <v>202607-8</v>
      </c>
      <c r="B105" s="3">
        <v>8</v>
      </c>
      <c r="C105" s="2">
        <v>46204</v>
      </c>
      <c r="D105" s="8">
        <v>46259</v>
      </c>
      <c r="F105" s="6" t="str">
        <f t="shared" si="2"/>
        <v>202607-8</v>
      </c>
      <c r="G105" s="3">
        <v>8</v>
      </c>
      <c r="H105" s="2">
        <v>46204</v>
      </c>
      <c r="I105" s="8" t="s">
        <v>97</v>
      </c>
    </row>
    <row r="106" spans="1:9" x14ac:dyDescent="0.3">
      <c r="A106" s="6" t="str">
        <f t="shared" si="3"/>
        <v>202608-8</v>
      </c>
      <c r="B106" s="3">
        <v>8</v>
      </c>
      <c r="C106" s="2">
        <v>46235</v>
      </c>
      <c r="D106" s="8">
        <v>46287</v>
      </c>
      <c r="F106" s="6" t="str">
        <f t="shared" si="2"/>
        <v>202608-8</v>
      </c>
      <c r="G106" s="3">
        <v>8</v>
      </c>
      <c r="H106" s="2">
        <v>46235</v>
      </c>
      <c r="I106" s="8" t="s">
        <v>98</v>
      </c>
    </row>
    <row r="107" spans="1:9" x14ac:dyDescent="0.3">
      <c r="A107" s="6" t="str">
        <f t="shared" si="3"/>
        <v>202609-8</v>
      </c>
      <c r="B107" s="3">
        <v>8</v>
      </c>
      <c r="C107" s="2">
        <v>46266</v>
      </c>
      <c r="D107" s="8">
        <v>46318</v>
      </c>
      <c r="F107" s="6" t="str">
        <f t="shared" si="2"/>
        <v>202609-8</v>
      </c>
      <c r="G107" s="3">
        <v>8</v>
      </c>
      <c r="H107" s="2">
        <v>46266</v>
      </c>
      <c r="I107" s="8" t="s">
        <v>99</v>
      </c>
    </row>
    <row r="108" spans="1:9" x14ac:dyDescent="0.3">
      <c r="A108" s="6" t="str">
        <f t="shared" si="3"/>
        <v>202610-8</v>
      </c>
      <c r="B108" s="3">
        <v>8</v>
      </c>
      <c r="C108" s="2">
        <v>46296</v>
      </c>
      <c r="D108" s="8">
        <v>46349</v>
      </c>
      <c r="F108" s="6" t="str">
        <f t="shared" si="2"/>
        <v>202610-8</v>
      </c>
      <c r="G108" s="3">
        <v>8</v>
      </c>
      <c r="H108" s="2">
        <v>46296</v>
      </c>
      <c r="I108" s="8" t="s">
        <v>100</v>
      </c>
    </row>
    <row r="109" spans="1:9" x14ac:dyDescent="0.3">
      <c r="A109" s="6" t="str">
        <f t="shared" si="3"/>
        <v>202611-8</v>
      </c>
      <c r="B109" s="3">
        <v>8</v>
      </c>
      <c r="C109" s="2">
        <v>46327</v>
      </c>
      <c r="D109" s="8">
        <v>46380</v>
      </c>
      <c r="F109" s="6" t="str">
        <f t="shared" si="2"/>
        <v>202611-8</v>
      </c>
      <c r="G109" s="3">
        <v>8</v>
      </c>
      <c r="H109" s="2">
        <v>46327</v>
      </c>
      <c r="I109" s="8" t="s">
        <v>101</v>
      </c>
    </row>
    <row r="110" spans="1:9" x14ac:dyDescent="0.3">
      <c r="A110" s="6" t="str">
        <f t="shared" si="3"/>
        <v>202612-8</v>
      </c>
      <c r="B110" s="3">
        <v>8</v>
      </c>
      <c r="C110" s="2">
        <v>46357</v>
      </c>
      <c r="D110" s="8">
        <v>46412</v>
      </c>
      <c r="F110" s="6" t="str">
        <f t="shared" si="2"/>
        <v>202612-8</v>
      </c>
      <c r="G110" s="3">
        <v>8</v>
      </c>
      <c r="H110" s="2">
        <v>46357</v>
      </c>
      <c r="I110" s="8" t="s">
        <v>102</v>
      </c>
    </row>
    <row r="111" spans="1:9" x14ac:dyDescent="0.3">
      <c r="A111" s="6" t="str">
        <f t="shared" si="3"/>
        <v>202601-9</v>
      </c>
      <c r="B111" s="3">
        <v>9</v>
      </c>
      <c r="C111" s="2">
        <v>46023</v>
      </c>
      <c r="D111" s="8">
        <v>46076</v>
      </c>
      <c r="F111" s="6" t="str">
        <f t="shared" si="2"/>
        <v>202601-9</v>
      </c>
      <c r="G111" s="3">
        <v>9</v>
      </c>
      <c r="H111" s="2">
        <v>46023</v>
      </c>
      <c r="I111" s="8" t="s">
        <v>91</v>
      </c>
    </row>
    <row r="112" spans="1:9" x14ac:dyDescent="0.3">
      <c r="A112" s="6" t="str">
        <f t="shared" si="3"/>
        <v>202602-9</v>
      </c>
      <c r="B112" s="3">
        <v>9</v>
      </c>
      <c r="C112" s="2">
        <v>46054</v>
      </c>
      <c r="D112" s="8">
        <v>46104</v>
      </c>
      <c r="F112" s="6" t="str">
        <f t="shared" si="2"/>
        <v>202602-9</v>
      </c>
      <c r="G112" s="3">
        <v>9</v>
      </c>
      <c r="H112" s="2">
        <v>46054</v>
      </c>
      <c r="I112" s="8" t="s">
        <v>92</v>
      </c>
    </row>
    <row r="113" spans="1:9" x14ac:dyDescent="0.3">
      <c r="A113" s="6" t="str">
        <f t="shared" si="3"/>
        <v>202603-9</v>
      </c>
      <c r="B113" s="3">
        <v>9</v>
      </c>
      <c r="C113" s="2">
        <v>46082</v>
      </c>
      <c r="D113" s="8">
        <v>46136</v>
      </c>
      <c r="F113" s="6" t="str">
        <f t="shared" si="2"/>
        <v>202603-9</v>
      </c>
      <c r="G113" s="3">
        <v>9</v>
      </c>
      <c r="H113" s="2">
        <v>46082</v>
      </c>
      <c r="I113" s="8" t="s">
        <v>93</v>
      </c>
    </row>
    <row r="114" spans="1:9" x14ac:dyDescent="0.3">
      <c r="A114" s="6" t="str">
        <f t="shared" si="3"/>
        <v>202604-9</v>
      </c>
      <c r="B114" s="3">
        <v>9</v>
      </c>
      <c r="C114" s="2">
        <v>46113</v>
      </c>
      <c r="D114" s="8">
        <v>46167</v>
      </c>
      <c r="F114" s="6" t="str">
        <f t="shared" si="2"/>
        <v>202604-9</v>
      </c>
      <c r="G114" s="3">
        <v>9</v>
      </c>
      <c r="H114" s="2">
        <v>46113</v>
      </c>
      <c r="I114" s="8" t="s">
        <v>94</v>
      </c>
    </row>
    <row r="115" spans="1:9" x14ac:dyDescent="0.3">
      <c r="A115" s="6" t="str">
        <f t="shared" si="3"/>
        <v>202605-9</v>
      </c>
      <c r="B115" s="3">
        <v>9</v>
      </c>
      <c r="C115" s="2">
        <v>46143</v>
      </c>
      <c r="D115" s="8">
        <v>46195</v>
      </c>
      <c r="F115" s="6" t="str">
        <f t="shared" si="2"/>
        <v>202605-9</v>
      </c>
      <c r="G115" s="3">
        <v>9</v>
      </c>
      <c r="H115" s="2">
        <v>46143</v>
      </c>
      <c r="I115" s="8" t="s">
        <v>95</v>
      </c>
    </row>
    <row r="116" spans="1:9" x14ac:dyDescent="0.3">
      <c r="A116" s="6" t="str">
        <f t="shared" si="3"/>
        <v>202606-9</v>
      </c>
      <c r="B116" s="3">
        <v>9</v>
      </c>
      <c r="C116" s="2">
        <v>46174</v>
      </c>
      <c r="D116" s="8">
        <v>46225</v>
      </c>
      <c r="F116" s="6" t="str">
        <f t="shared" si="2"/>
        <v>202606-9</v>
      </c>
      <c r="G116" s="3">
        <v>9</v>
      </c>
      <c r="H116" s="2">
        <v>46174</v>
      </c>
      <c r="I116" s="8" t="s">
        <v>96</v>
      </c>
    </row>
    <row r="117" spans="1:9" x14ac:dyDescent="0.3">
      <c r="A117" s="6" t="str">
        <f t="shared" si="3"/>
        <v>202607-9</v>
      </c>
      <c r="B117" s="3">
        <v>9</v>
      </c>
      <c r="C117" s="2">
        <v>46204</v>
      </c>
      <c r="D117" s="8">
        <v>46259</v>
      </c>
      <c r="F117" s="6" t="str">
        <f t="shared" si="2"/>
        <v>202607-9</v>
      </c>
      <c r="G117" s="3">
        <v>9</v>
      </c>
      <c r="H117" s="2">
        <v>46204</v>
      </c>
      <c r="I117" s="8" t="s">
        <v>97</v>
      </c>
    </row>
    <row r="118" spans="1:9" x14ac:dyDescent="0.3">
      <c r="A118" s="6" t="str">
        <f t="shared" si="3"/>
        <v>202608-9</v>
      </c>
      <c r="B118" s="3">
        <v>9</v>
      </c>
      <c r="C118" s="2">
        <v>46235</v>
      </c>
      <c r="D118" s="8">
        <v>46287</v>
      </c>
      <c r="F118" s="6" t="str">
        <f t="shared" si="2"/>
        <v>202608-9</v>
      </c>
      <c r="G118" s="3">
        <v>9</v>
      </c>
      <c r="H118" s="2">
        <v>46235</v>
      </c>
      <c r="I118" s="8" t="s">
        <v>98</v>
      </c>
    </row>
    <row r="119" spans="1:9" x14ac:dyDescent="0.3">
      <c r="A119" s="6" t="str">
        <f t="shared" si="3"/>
        <v>202609-9</v>
      </c>
      <c r="B119" s="3">
        <v>9</v>
      </c>
      <c r="C119" s="2">
        <v>46266</v>
      </c>
      <c r="D119" s="8">
        <v>46318</v>
      </c>
      <c r="F119" s="6" t="str">
        <f t="shared" si="2"/>
        <v>202609-9</v>
      </c>
      <c r="G119" s="3">
        <v>9</v>
      </c>
      <c r="H119" s="2">
        <v>46266</v>
      </c>
      <c r="I119" s="8" t="s">
        <v>99</v>
      </c>
    </row>
    <row r="120" spans="1:9" x14ac:dyDescent="0.3">
      <c r="A120" s="6" t="str">
        <f t="shared" si="3"/>
        <v>202610-9</v>
      </c>
      <c r="B120" s="3">
        <v>9</v>
      </c>
      <c r="C120" s="2">
        <v>46296</v>
      </c>
      <c r="D120" s="8">
        <v>46349</v>
      </c>
      <c r="F120" s="6" t="str">
        <f t="shared" si="2"/>
        <v>202610-9</v>
      </c>
      <c r="G120" s="3">
        <v>9</v>
      </c>
      <c r="H120" s="2">
        <v>46296</v>
      </c>
      <c r="I120" s="8" t="s">
        <v>100</v>
      </c>
    </row>
    <row r="121" spans="1:9" x14ac:dyDescent="0.3">
      <c r="A121" s="6" t="str">
        <f t="shared" si="3"/>
        <v>202611-9</v>
      </c>
      <c r="B121" s="3">
        <v>9</v>
      </c>
      <c r="C121" s="2">
        <v>46327</v>
      </c>
      <c r="D121" s="8">
        <v>46380</v>
      </c>
      <c r="F121" s="6" t="str">
        <f t="shared" si="2"/>
        <v>202611-9</v>
      </c>
      <c r="G121" s="3">
        <v>9</v>
      </c>
      <c r="H121" s="2">
        <v>46327</v>
      </c>
      <c r="I121" s="8" t="s">
        <v>101</v>
      </c>
    </row>
    <row r="122" spans="1:9" x14ac:dyDescent="0.3">
      <c r="A122" s="6" t="str">
        <f t="shared" si="3"/>
        <v>202612-9</v>
      </c>
      <c r="B122" s="3">
        <v>9</v>
      </c>
      <c r="C122" s="2">
        <v>46357</v>
      </c>
      <c r="D122" s="8">
        <v>46412</v>
      </c>
      <c r="F122" s="6" t="str">
        <f t="shared" si="2"/>
        <v>202612-9</v>
      </c>
      <c r="G122" s="3">
        <v>9</v>
      </c>
      <c r="H122" s="2">
        <v>46357</v>
      </c>
      <c r="I122" s="8" t="s">
        <v>102</v>
      </c>
    </row>
    <row r="123" spans="1:9" x14ac:dyDescent="0.3">
      <c r="A123" s="6" t="str">
        <f t="shared" si="3"/>
        <v>202601-BC</v>
      </c>
      <c r="B123" s="3" t="s">
        <v>11</v>
      </c>
      <c r="C123" s="2">
        <v>46023</v>
      </c>
      <c r="D123" s="8">
        <v>46077</v>
      </c>
      <c r="F123" s="6" t="str">
        <f t="shared" si="2"/>
        <v>202601-BC</v>
      </c>
      <c r="G123" s="3" t="s">
        <v>11</v>
      </c>
      <c r="H123" s="2">
        <v>46023</v>
      </c>
      <c r="I123" s="8" t="s">
        <v>103</v>
      </c>
    </row>
    <row r="124" spans="1:9" x14ac:dyDescent="0.3">
      <c r="A124" s="6" t="str">
        <f t="shared" si="3"/>
        <v>202602-BC</v>
      </c>
      <c r="B124" s="3" t="s">
        <v>11</v>
      </c>
      <c r="C124" s="2">
        <v>46054</v>
      </c>
      <c r="D124" s="8">
        <v>46105</v>
      </c>
      <c r="F124" s="6" t="str">
        <f t="shared" si="2"/>
        <v>202602-BC</v>
      </c>
      <c r="G124" s="3" t="s">
        <v>11</v>
      </c>
      <c r="H124" s="2">
        <v>46054</v>
      </c>
      <c r="I124" s="8" t="s">
        <v>104</v>
      </c>
    </row>
    <row r="125" spans="1:9" x14ac:dyDescent="0.3">
      <c r="A125" s="6" t="str">
        <f t="shared" si="3"/>
        <v>202603-BC</v>
      </c>
      <c r="B125" s="3" t="s">
        <v>11</v>
      </c>
      <c r="C125" s="2">
        <v>46082</v>
      </c>
      <c r="D125" s="8">
        <v>46139</v>
      </c>
      <c r="F125" s="6" t="str">
        <f t="shared" si="2"/>
        <v>202603-BC</v>
      </c>
      <c r="G125" s="3" t="s">
        <v>11</v>
      </c>
      <c r="H125" s="2">
        <v>46082</v>
      </c>
      <c r="I125" s="8" t="s">
        <v>105</v>
      </c>
    </row>
    <row r="126" spans="1:9" x14ac:dyDescent="0.3">
      <c r="A126" s="6" t="str">
        <f t="shared" si="3"/>
        <v>202604-BC</v>
      </c>
      <c r="B126" s="3" t="s">
        <v>11</v>
      </c>
      <c r="C126" s="2">
        <v>46113</v>
      </c>
      <c r="D126" s="8">
        <v>46168</v>
      </c>
      <c r="F126" s="6" t="str">
        <f t="shared" si="2"/>
        <v>202604-BC</v>
      </c>
      <c r="G126" s="3" t="s">
        <v>11</v>
      </c>
      <c r="H126" s="2">
        <v>46113</v>
      </c>
      <c r="I126" s="8" t="s">
        <v>106</v>
      </c>
    </row>
    <row r="127" spans="1:9" x14ac:dyDescent="0.3">
      <c r="A127" s="6" t="str">
        <f t="shared" si="3"/>
        <v>202605-BC</v>
      </c>
      <c r="B127" s="3" t="s">
        <v>11</v>
      </c>
      <c r="C127" s="2">
        <v>46143</v>
      </c>
      <c r="D127" s="8">
        <v>46196</v>
      </c>
      <c r="F127" s="6" t="str">
        <f t="shared" si="2"/>
        <v>202605-BC</v>
      </c>
      <c r="G127" s="3" t="s">
        <v>11</v>
      </c>
      <c r="H127" s="2">
        <v>46143</v>
      </c>
      <c r="I127" s="8" t="s">
        <v>107</v>
      </c>
    </row>
    <row r="128" spans="1:9" x14ac:dyDescent="0.3">
      <c r="A128" s="6" t="str">
        <f t="shared" si="3"/>
        <v>202606-BC</v>
      </c>
      <c r="B128" s="3" t="s">
        <v>11</v>
      </c>
      <c r="C128" s="2">
        <v>46174</v>
      </c>
      <c r="D128" s="8">
        <v>46227</v>
      </c>
      <c r="F128" s="6" t="str">
        <f t="shared" si="2"/>
        <v>202606-BC</v>
      </c>
      <c r="G128" s="3" t="s">
        <v>11</v>
      </c>
      <c r="H128" s="2">
        <v>46174</v>
      </c>
      <c r="I128" s="8" t="s">
        <v>108</v>
      </c>
    </row>
    <row r="129" spans="1:9" x14ac:dyDescent="0.3">
      <c r="A129" s="6" t="str">
        <f t="shared" si="3"/>
        <v>202607-BC</v>
      </c>
      <c r="B129" s="3" t="s">
        <v>11</v>
      </c>
      <c r="C129" s="2">
        <v>46204</v>
      </c>
      <c r="D129" s="8">
        <v>46260</v>
      </c>
      <c r="F129" s="6" t="str">
        <f t="shared" si="2"/>
        <v>202607-BC</v>
      </c>
      <c r="G129" s="3" t="s">
        <v>11</v>
      </c>
      <c r="H129" s="2">
        <v>46204</v>
      </c>
      <c r="I129" s="8" t="s">
        <v>109</v>
      </c>
    </row>
    <row r="130" spans="1:9" x14ac:dyDescent="0.3">
      <c r="A130" s="6" t="str">
        <f t="shared" si="3"/>
        <v>202608-BC</v>
      </c>
      <c r="B130" s="3" t="s">
        <v>11</v>
      </c>
      <c r="C130" s="2">
        <v>46235</v>
      </c>
      <c r="D130" s="8">
        <v>46288</v>
      </c>
      <c r="F130" s="6" t="str">
        <f t="shared" si="2"/>
        <v>202608-BC</v>
      </c>
      <c r="G130" s="3" t="s">
        <v>11</v>
      </c>
      <c r="H130" s="2">
        <v>46235</v>
      </c>
      <c r="I130" s="8" t="s">
        <v>110</v>
      </c>
    </row>
    <row r="131" spans="1:9" x14ac:dyDescent="0.3">
      <c r="A131" s="6" t="str">
        <f t="shared" si="3"/>
        <v>202609-BC</v>
      </c>
      <c r="B131" s="3" t="s">
        <v>11</v>
      </c>
      <c r="C131" s="2">
        <v>46266</v>
      </c>
      <c r="D131" s="8">
        <v>46321</v>
      </c>
      <c r="F131" s="6" t="str">
        <f t="shared" si="2"/>
        <v>202609-BC</v>
      </c>
      <c r="G131" s="3" t="s">
        <v>11</v>
      </c>
      <c r="H131" s="2">
        <v>46266</v>
      </c>
      <c r="I131" s="8" t="s">
        <v>111</v>
      </c>
    </row>
    <row r="132" spans="1:9" x14ac:dyDescent="0.3">
      <c r="A132" s="6" t="str">
        <f t="shared" si="3"/>
        <v>202610-BC</v>
      </c>
      <c r="B132" s="3" t="s">
        <v>11</v>
      </c>
      <c r="C132" s="2">
        <v>46296</v>
      </c>
      <c r="D132" s="8">
        <v>46350</v>
      </c>
      <c r="F132" s="6" t="str">
        <f t="shared" ref="F132:F134" si="4">CONCATENATE(YEAR(I132-30),TEXT(MONTH(I132-30),"00"), "-",G132)</f>
        <v>202610-BC</v>
      </c>
      <c r="G132" s="3" t="s">
        <v>11</v>
      </c>
      <c r="H132" s="2">
        <v>46296</v>
      </c>
      <c r="I132" s="8" t="s">
        <v>112</v>
      </c>
    </row>
    <row r="133" spans="1:9" x14ac:dyDescent="0.3">
      <c r="A133" s="6" t="str">
        <f t="shared" si="3"/>
        <v>202611-BC</v>
      </c>
      <c r="B133" s="3" t="s">
        <v>11</v>
      </c>
      <c r="C133" s="2">
        <v>46327</v>
      </c>
      <c r="D133" s="8">
        <v>46384</v>
      </c>
      <c r="F133" s="6" t="str">
        <f t="shared" si="4"/>
        <v>202611-BC</v>
      </c>
      <c r="G133" s="3" t="s">
        <v>11</v>
      </c>
      <c r="H133" s="2">
        <v>46327</v>
      </c>
      <c r="I133" s="8" t="s">
        <v>113</v>
      </c>
    </row>
    <row r="134" spans="1:9" x14ac:dyDescent="0.3">
      <c r="A134" s="6" t="str">
        <f t="shared" ref="A134" si="5">CONCATENATE("2026",TEXT(MONTH(C134),"00"),"-",B134)</f>
        <v>202612-BC</v>
      </c>
      <c r="B134" s="3" t="s">
        <v>11</v>
      </c>
      <c r="C134" s="2">
        <v>46357</v>
      </c>
      <c r="D134" s="8">
        <v>46413</v>
      </c>
      <c r="F134" s="6" t="str">
        <f t="shared" si="4"/>
        <v>202612-BC</v>
      </c>
      <c r="G134" s="3" t="s">
        <v>11</v>
      </c>
      <c r="H134" s="2">
        <v>46357</v>
      </c>
      <c r="I134" s="8" t="s">
        <v>114</v>
      </c>
    </row>
    <row r="142" spans="1:9" x14ac:dyDescent="0.3">
      <c r="H142"/>
    </row>
    <row r="143" spans="1:9" x14ac:dyDescent="0.3">
      <c r="H143"/>
    </row>
    <row r="144" spans="1:9" x14ac:dyDescent="0.3">
      <c r="H144"/>
    </row>
    <row r="145" spans="8:8" x14ac:dyDescent="0.3">
      <c r="H145"/>
    </row>
    <row r="146" spans="8:8" x14ac:dyDescent="0.3">
      <c r="H146"/>
    </row>
    <row r="147" spans="8:8" x14ac:dyDescent="0.3">
      <c r="H147"/>
    </row>
    <row r="148" spans="8:8" x14ac:dyDescent="0.3">
      <c r="H148"/>
    </row>
    <row r="149" spans="8:8" x14ac:dyDescent="0.3">
      <c r="H149"/>
    </row>
    <row r="150" spans="8:8" x14ac:dyDescent="0.3">
      <c r="H150"/>
    </row>
    <row r="151" spans="8:8" x14ac:dyDescent="0.3">
      <c r="H151"/>
    </row>
    <row r="152" spans="8:8" x14ac:dyDescent="0.3">
      <c r="H152"/>
    </row>
  </sheetData>
  <mergeCells count="3">
    <mergeCell ref="L1:M1"/>
    <mergeCell ref="A1:D1"/>
    <mergeCell ref="F1:I1"/>
  </mergeCells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CLIENTES</vt:lpstr>
      <vt:lpstr>Hoja3</vt:lpstr>
      <vt:lpstr>Hoja2</vt:lpstr>
      <vt:lpstr>Hoja1</vt:lpstr>
      <vt:lpstr>CRONOGRAMAS 2026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 Negocios</dc:creator>
  <cp:lastModifiedBy>Danilo Guerreros</cp:lastModifiedBy>
  <cp:lastPrinted>2017-03-06T03:12:23Z</cp:lastPrinted>
  <dcterms:created xsi:type="dcterms:W3CDTF">2010-11-22T16:05:42Z</dcterms:created>
  <dcterms:modified xsi:type="dcterms:W3CDTF">2026-08-11T13:25:06Z</dcterms:modified>
</cp:coreProperties>
</file>